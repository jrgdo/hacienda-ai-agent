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26f4d3517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bfa351fd8144b5b"/>
    <x:sheet xmlns:r="http://schemas.openxmlformats.org/officeDocument/2006/relationships" name="Configuracion" sheetId="2" r:id="R0fc9b02e48244f31"/>
    <x:sheet xmlns:r="http://schemas.openxmlformats.org/officeDocument/2006/relationships" name="Ingresos" sheetId="3" r:id="R1b6fcd43180f4258"/>
    <x:sheet xmlns:r="http://schemas.openxmlformats.org/officeDocument/2006/relationships" name="Gastos" sheetId="4" r:id="Rb1e70f111b494ebd"/>
    <x:sheet xmlns:r="http://schemas.openxmlformats.org/officeDocument/2006/relationships" name="Bienes" sheetId="5" r:id="R3500a2782a3b4bbc"/>
    <x:sheet xmlns:r="http://schemas.openxmlformats.org/officeDocument/2006/relationships" name="Movimientos" sheetId="6" r:id="R4d3852afff9a40d5"/>
    <x:sheet xmlns:r="http://schemas.openxmlformats.org/officeDocument/2006/relationships" name="Pendientes" sheetId="7" r:id="Rbd0068abcb01459e"/>
    <x:sheet xmlns:r="http://schemas.openxmlformats.org/officeDocument/2006/relationships" name="Declaraciones" sheetId="8" r:id="R1b9a97a02c32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;[Red](#,##0.00)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EFF3F6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3bb40e611406a" /><Relationship Type="http://schemas.openxmlformats.org/officeDocument/2006/relationships/theme" Target="/xl/theme/theme1.xml" Id="R11ae75e80afa4d4a" /><Relationship Type="http://schemas.openxmlformats.org/officeDocument/2006/relationships/sharedStrings" Target="/xl/sharedStrings.xml" Id="Re823da9403494f9d" /><Relationship Type="http://schemas.openxmlformats.org/officeDocument/2006/relationships/worksheet" Target="/xl/worksheets/sheet1.xml" Id="R6bfa351fd8144b5b" /><Relationship Type="http://schemas.openxmlformats.org/officeDocument/2006/relationships/worksheet" Target="/xl/worksheets/sheet2.xml" Id="R0fc9b02e48244f31" /><Relationship Type="http://schemas.openxmlformats.org/officeDocument/2006/relationships/worksheet" Target="/xl/worksheets/sheet3.xml" Id="R1b6fcd43180f4258" /><Relationship Type="http://schemas.openxmlformats.org/officeDocument/2006/relationships/worksheet" Target="/xl/worksheets/sheet4.xml" Id="Rb1e70f111b494ebd" /><Relationship Type="http://schemas.openxmlformats.org/officeDocument/2006/relationships/worksheet" Target="/xl/worksheets/sheet5.xml" Id="R3500a2782a3b4bbc" /><Relationship Type="http://schemas.openxmlformats.org/officeDocument/2006/relationships/worksheet" Target="/xl/worksheets/sheet6.xml" Id="R4d3852afff9a40d5" /><Relationship Type="http://schemas.openxmlformats.org/officeDocument/2006/relationships/worksheet" Target="/xl/worksheets/sheet7.xml" Id="Rbd0068abcb01459e" /><Relationship Type="http://schemas.openxmlformats.org/officeDocument/2006/relationships/worksheet" Target="/xl/worksheets/sheet8.xml" Id="R1b9a97a02c3243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d1e8d1755a4c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Ingresos y gastos por trimestre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Ingresos</c:v>
          </c:tx>
          <c:cat>
            <c:strRef>
              <c:f>'Resumen'!$I$6:$I$9</c:f>
              <c:strCache>
                <c:ptCount val="0"/>
              </c:strCache>
            </c:strRef>
          </c:cat>
          <c:val>
            <c:numRef>
              <c:f>'Resumen'!$J$6:$J$9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Gastos</c:v>
          </c:tx>
          <c:cat>
            <c:strRef>
              <c:f>'Resumen'!$I$6:$I$9</c:f>
              <c:strCache>
                <c:ptCount val="0"/>
              </c:strCache>
            </c:strRef>
          </c:cat>
          <c:val>
            <c:numRef>
              <c:f>'Resumen'!$K$6:$K$9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d1e8d1755a4c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Ingresos" displayName="TablaIngresos" ref="A1:Q201" headerRowCount="1" totalsRowCount="0" totalsRowShown="0">
  <x:tableColumns count="17">
    <x:tableColumn id="1" name="ID"/>
    <x:tableColumn id="2" name="Fecha devengo"/>
    <x:tableColumn id="3" name="Año"/>
    <x:tableColumn id="4" name="Trimestre"/>
    <x:tableColumn id="5" name="Factura"/>
    <x:tableColumn id="6" name="Cliente"/>
    <x:tableColumn id="7" name="Actividad"/>
    <x:tableColumn id="8" name="Categoría"/>
    <x:tableColumn id="9" name="Base"/>
    <x:tableColumn id="10" name="IVA repercutido"/>
    <x:tableColumn id="11" name="Retención IRPF"/>
    <x:tableColumn id="12" name="Total factura"/>
    <x:tableColumn id="13" name="Estado revisión"/>
    <x:tableColumn id="14" name="Cobro"/>
    <x:tableColumn id="15" name="Método"/>
    <x:tableColumn id="16" name="Notas"/>
    <x:tableColumn id="17" name="Ingreso computable confirm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Gastos" displayName="TablaGastos" ref="A1:T201" headerRowCount="1" totalsRowCount="0" totalsRowShown="0">
  <x:tableColumns count="20">
    <x:tableColumn id="1" name="ID"/>
    <x:tableColumn id="2" name="Fecha devengo"/>
    <x:tableColumn id="3" name="Año"/>
    <x:tableColumn id="4" name="Trimestre"/>
    <x:tableColumn id="5" name="Factura"/>
    <x:tableColumn id="6" name="Proveedor"/>
    <x:tableColumn id="7" name="Actividad"/>
    <x:tableColumn id="8" name="Categoría"/>
    <x:tableColumn id="9" name="Base"/>
    <x:tableColumn id="10" name="IVA soportado"/>
    <x:tableColumn id="11" name="Retención IRPF"/>
    <x:tableColumn id="12" name="Total factura"/>
    <x:tableColumn id="13" name="Estado revisión"/>
    <x:tableColumn id="14" name="Pago"/>
    <x:tableColumn id="15" name="Método"/>
    <x:tableColumn id="16" name="Notas"/>
    <x:tableColumn id="17" name="Gasto IRPF aprobado"/>
    <x:tableColumn id="18" name="IVA deducible aprobado"/>
    <x:tableColumn id="19" name="Gasto IRPF confirmado"/>
    <x:tableColumn id="20" name="IVA deducible confirm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Bienes" displayName="TablaBienes" ref="A1:N201" headerRowCount="1" totalsRowCount="0" totalsRowShown="0">
  <x:tableColumns count="14">
    <x:tableColumn id="1" name="ID"/>
    <x:tableColumn id="2" name="Fecha compra"/>
    <x:tableColumn id="3" name="Descripción"/>
    <x:tableColumn id="4" name="Factura"/>
    <x:tableColumn id="5" name="Actividad"/>
    <x:tableColumn id="6" name="Coste"/>
    <x:tableColumn id="7" name="IVA"/>
    <x:tableColumn id="8" name="Uso profesional %"/>
    <x:tableColumn id="9" name="Puesta en uso"/>
    <x:tableColumn id="10" name="Método verificado"/>
    <x:tableColumn id="11" name="Amortización aprobada"/>
    <x:tableColumn id="12" name="Ejercicio"/>
    <x:tableColumn id="13" name="Estado revisión"/>
    <x:tableColumn id="14" name="Not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Movimientos" displayName="TablaMovimientos" ref="A1:K201" headerRowCount="1" totalsRowCount="0" totalsRowShown="0">
  <x:tableColumns count="11">
    <x:tableColumn id="1" name="ID origen"/>
    <x:tableColumn id="2" name="Fecha bancaria"/>
    <x:tableColumn id="3" name="Descripción original"/>
    <x:tableColumn id="4" name="Importe con signo"/>
    <x:tableColumn id="5" name="Moneda"/>
    <x:tableColumn id="6" name="Cuenta alias"/>
    <x:tableColumn id="7" name="Clasificación propuesta"/>
    <x:tableColumn id="8" name="ID documento"/>
    <x:tableColumn id="9" name="ID traspaso vinculado"/>
    <x:tableColumn id="10" name="Estado revisión"/>
    <x:tableColumn id="11" name="Motiv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aPendientes" displayName="TablaPendientes" ref="A1:G201" headerRowCount="1" totalsRowCount="0" totalsRowShown="0">
  <x:tableColumns count="7">
    <x:tableColumn id="1" name="ID"/>
    <x:tableColumn id="2" name="Fecha"/>
    <x:tableColumn id="3" name="Documento / pregunta"/>
    <x:tableColumn id="4" name="ID operación"/>
    <x:tableColumn id="5" name="Acción pendiente"/>
    <x:tableColumn id="6" name="Estado"/>
    <x:tableColumn id="7" name="Respuesta del usuari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aDeclaraciones" displayName="TablaDeclaraciones" ref="A1:J201" headerRowCount="1" totalsRowCount="0" totalsRowShown="0">
  <x:tableColumns count="10">
    <x:tableColumn id="1" name="Ejercicio"/>
    <x:tableColumn id="2" name="Período"/>
    <x:tableColumn id="3" name="Modelo"/>
    <x:tableColumn id="4" name="Estado"/>
    <x:tableColumn id="5" name="Resultado borrador"/>
    <x:tableColumn id="6" name="Fecha presentación"/>
    <x:tableColumn id="7" name="Justificante local"/>
    <x:tableColumn id="8" name="Fuente oficial"/>
    <x:tableColumn id="9" name="Fecha comprobación"/>
    <x:tableColumn id="10" name="Dud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9a3e8d408f4c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ee77af29a6b48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6074f77c35446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e557675626e4a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c03630893e64a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2f976b01af34f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231175b15384f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12"/>
      <x:c r="B1" s="12"/>
      <x:c r="C1" s="12"/>
      <x:c r="D1" s="12"/>
      <x:c r="E1" s="12"/>
      <x:c r="F1" s="12"/>
    </x:row>
    <x:row r="2">
      <x:c r="A2" s="13" t="str">
        <x:v>Seguimiento anual y trimestral</x:v>
      </x:c>
      <x:c r="B2" s="12"/>
      <x:c r="C2" s="12"/>
      <x:c r="D2" s="12"/>
      <x:c r="E2" s="12"/>
      <x:c r="F2" s="12"/>
    </x:row>
    <x:row r="3">
      <x:c r="A3" s="12" t="str">
        <x:v>Ejercicio (editar en Configuracion)</x:v>
      </x:c>
      <x:c r="B3" s="12" t="n">
        <x:f>'Configuracion'!B2</x:f>
        <x:v>2026</x:v>
      </x:c>
      <x:c r="C3" s="12"/>
      <x:c r="D3" s="12"/>
      <x:c r="E3" s="12"/>
      <x:c r="F3" s="12"/>
    </x:row>
    <x:row r="4">
      <x:c r="A4" s="12"/>
      <x:c r="B4" s="12"/>
      <x:c r="C4" s="12"/>
      <x:c r="D4" s="12"/>
      <x:c r="E4" s="12"/>
      <x:c r="F4" s="12"/>
    </x:row>
    <x:row r="5" ht="30" customHeight="1">
      <x:c r="A5" s="16" t="str">
        <x:v>Concepto (EUR)</x:v>
      </x:c>
      <x:c r="B5" s="16" t="str">
        <x:v>Anual</x:v>
      </x:c>
      <x:c r="C5" s="16" t="str">
        <x:v>T1 / Q1</x:v>
      </x:c>
      <x:c r="D5" s="16" t="str">
        <x:v>T2 / Q2</x:v>
      </x:c>
      <x:c r="E5" s="16" t="str">
        <x:v>T3 / Q3</x:v>
      </x:c>
      <x:c r="F5" s="16" t="str">
        <x:v>T4 / Q4</x:v>
      </x:c>
      <x:c r="I5" t="str">
        <x:v>Trimestre</x:v>
      </x:c>
      <x:c r="J5" t="str">
        <x:v>Ingresos</x:v>
      </x:c>
      <x:c r="K5" t="str">
        <x:v>Gastos</x:v>
      </x:c>
    </x:row>
    <x:row r="6">
      <x:c r="A6" s="12" t="str">
        <x:v>Ingresos confirmados</x:v>
      </x:c>
      <x:c r="B6" s="14" t="n">
        <x:f>SUM(C6:F6)</x:f>
        <x:v>0</x:v>
      </x:c>
      <x:c r="C6" s="14" t="n">
        <x:f>SUMIFS('Ingresos'!$Q$2:$Q$201,'Ingresos'!$C$2:$C$201,$B$3,'Ingresos'!$D$2:$D$201,1,'Ingresos'!$M$2:$M$201,"Confirmado")</x:f>
        <x:v>0</x:v>
      </x:c>
      <x:c r="D6" s="14" t="n">
        <x:f>SUMIFS('Ingresos'!$Q$2:$Q$201,'Ingresos'!$C$2:$C$201,$B$3,'Ingresos'!$D$2:$D$201,2,'Ingresos'!$M$2:$M$201,"Confirmado")</x:f>
        <x:v>0</x:v>
      </x:c>
      <x:c r="E6" s="14" t="n">
        <x:f>SUMIFS('Ingresos'!$Q$2:$Q$201,'Ingresos'!$C$2:$C$201,$B$3,'Ingresos'!$D$2:$D$201,3,'Ingresos'!$M$2:$M$201,"Confirmado")</x:f>
        <x:v>0</x:v>
      </x:c>
      <x:c r="F6" s="14" t="n">
        <x:f>SUMIFS('Ingresos'!$Q$2:$Q$201,'Ingresos'!$C$2:$C$201,$B$3,'Ingresos'!$D$2:$D$201,4,'Ingresos'!$M$2:$M$201,"Confirmado")</x:f>
        <x:v>0</x:v>
      </x:c>
      <x:c r="I6" t="str">
        <x:f>C5</x:f>
        <x:v>T1 / Q1</x:v>
      </x:c>
      <x:c r="J6" t="n">
        <x:f>C6</x:f>
        <x:v>0</x:v>
      </x:c>
      <x:c r="K6" t="n">
        <x:f>C7</x:f>
        <x:v>0</x:v>
      </x:c>
    </x:row>
    <x:row r="7">
      <x:c r="A7" s="12" t="str">
        <x:v>Gastos IRPF confirmados</x:v>
      </x:c>
      <x:c r="B7" s="14" t="n">
        <x:f>SUM(C7:F7)</x:f>
        <x:v>0</x:v>
      </x:c>
      <x:c r="C7" s="14" t="n">
        <x:f>SUMIFS('Gastos'!$S$2:$S$201,'Gastos'!$C$2:$C$201,$B$3,'Gastos'!$D$2:$D$201,1,'Gastos'!$M$2:$M$201,"Confirmado")</x:f>
        <x:v>0</x:v>
      </x:c>
      <x:c r="D7" s="14" t="n">
        <x:f>SUMIFS('Gastos'!$S$2:$S$201,'Gastos'!$C$2:$C$201,$B$3,'Gastos'!$D$2:$D$201,2,'Gastos'!$M$2:$M$201,"Confirmado")</x:f>
        <x:v>0</x:v>
      </x:c>
      <x:c r="E7" s="14" t="n">
        <x:f>SUMIFS('Gastos'!$S$2:$S$201,'Gastos'!$C$2:$C$201,$B$3,'Gastos'!$D$2:$D$201,3,'Gastos'!$M$2:$M$201,"Confirmado")</x:f>
        <x:v>0</x:v>
      </x:c>
      <x:c r="F7" s="14" t="n">
        <x:f>SUMIFS('Gastos'!$S$2:$S$201,'Gastos'!$C$2:$C$201,$B$3,'Gastos'!$D$2:$D$201,4,'Gastos'!$M$2:$M$201,"Confirmado")</x:f>
        <x:v>0</x:v>
      </x:c>
      <x:c r="I7" t="str">
        <x:f>D5</x:f>
        <x:v>T2 / Q2</x:v>
      </x:c>
      <x:c r="J7" t="n">
        <x:f>D6</x:f>
        <x:v>0</x:v>
      </x:c>
      <x:c r="K7" t="n">
        <x:f>D7</x:f>
        <x:v>0</x:v>
      </x:c>
    </x:row>
    <x:row r="8">
      <x:c r="A8" s="12" t="str">
        <x:v>Resultado provisional</x:v>
      </x:c>
      <x:c r="B8" s="14" t="n">
        <x:f>SUM(C8:F8)</x:f>
        <x:v>0</x:v>
      </x:c>
      <x:c r="C8" s="14" t="n">
        <x:f>C6-C7</x:f>
        <x:v>0</x:v>
      </x:c>
      <x:c r="D8" s="14" t="n">
        <x:f>D6-D7</x:f>
        <x:v>0</x:v>
      </x:c>
      <x:c r="E8" s="14" t="n">
        <x:f>E6-E7</x:f>
        <x:v>0</x:v>
      </x:c>
      <x:c r="F8" s="14" t="n">
        <x:f>F6-F7</x:f>
        <x:v>0</x:v>
      </x:c>
      <x:c r="I8" t="str">
        <x:f>E5</x:f>
        <x:v>T3 / Q3</x:v>
      </x:c>
      <x:c r="J8" t="n">
        <x:f>E6</x:f>
        <x:v>0</x:v>
      </x:c>
      <x:c r="K8" t="n">
        <x:f>E7</x:f>
        <x:v>0</x:v>
      </x:c>
    </x:row>
    <x:row r="9">
      <x:c r="A9" s="12" t="str">
        <x:v>IVA repercutido confirmado</x:v>
      </x:c>
      <x:c r="B9" s="14" t="n">
        <x:f>SUM(C9:F9)</x:f>
        <x:v>0</x:v>
      </x:c>
      <x:c r="C9" s="14" t="n">
        <x:f>SUMIFS('Ingresos'!$J$2:$J$201,'Ingresos'!$C$2:$C$201,$B$3,'Ingresos'!$D$2:$D$201,1,'Ingresos'!$M$2:$M$201,"Confirmado")</x:f>
        <x:v>0</x:v>
      </x:c>
      <x:c r="D9" s="14" t="n">
        <x:f>SUMIFS('Ingresos'!$J$2:$J$201,'Ingresos'!$C$2:$C$201,$B$3,'Ingresos'!$D$2:$D$201,2,'Ingresos'!$M$2:$M$201,"Confirmado")</x:f>
        <x:v>0</x:v>
      </x:c>
      <x:c r="E9" s="14" t="n">
        <x:f>SUMIFS('Ingresos'!$J$2:$J$201,'Ingresos'!$C$2:$C$201,$B$3,'Ingresos'!$D$2:$D$201,3,'Ingresos'!$M$2:$M$201,"Confirmado")</x:f>
        <x:v>0</x:v>
      </x:c>
      <x:c r="F9" s="14" t="n">
        <x:f>SUMIFS('Ingresos'!$J$2:$J$201,'Ingresos'!$C$2:$C$201,$B$3,'Ingresos'!$D$2:$D$201,4,'Ingresos'!$M$2:$M$201,"Confirmado")</x:f>
        <x:v>0</x:v>
      </x:c>
      <x:c r="I9" t="str">
        <x:f>F5</x:f>
        <x:v>T4 / Q4</x:v>
      </x:c>
      <x:c r="J9" t="n">
        <x:f>F6</x:f>
        <x:v>0</x:v>
      </x:c>
      <x:c r="K9" t="n">
        <x:f>F7</x:f>
        <x:v>0</x:v>
      </x:c>
    </x:row>
    <x:row r="10">
      <x:c r="A10" s="12" t="str">
        <x:v>IVA soportado confirmado</x:v>
      </x:c>
      <x:c r="B10" s="14" t="n">
        <x:f>SUM(C10:F10)</x:f>
        <x:v>0</x:v>
      </x:c>
      <x:c r="C10" s="14" t="n">
        <x:f>SUMIFS('Gastos'!$J$2:$J$201,'Gastos'!$C$2:$C$201,$B$3,'Gastos'!$D$2:$D$201,1,'Gastos'!$M$2:$M$201,"Confirmado")</x:f>
        <x:v>0</x:v>
      </x:c>
      <x:c r="D10" s="14" t="n">
        <x:f>SUMIFS('Gastos'!$J$2:$J$201,'Gastos'!$C$2:$C$201,$B$3,'Gastos'!$D$2:$D$201,2,'Gastos'!$M$2:$M$201,"Confirmado")</x:f>
        <x:v>0</x:v>
      </x:c>
      <x:c r="E10" s="14" t="n">
        <x:f>SUMIFS('Gastos'!$J$2:$J$201,'Gastos'!$C$2:$C$201,$B$3,'Gastos'!$D$2:$D$201,3,'Gastos'!$M$2:$M$201,"Confirmado")</x:f>
        <x:v>0</x:v>
      </x:c>
      <x:c r="F10" s="14" t="n">
        <x:f>SUMIFS('Gastos'!$J$2:$J$201,'Gastos'!$C$2:$C$201,$B$3,'Gastos'!$D$2:$D$201,4,'Gastos'!$M$2:$M$201,"Confirmado")</x:f>
        <x:v>0</x:v>
      </x:c>
    </x:row>
    <x:row r="11">
      <x:c r="A11" s="12" t="str">
        <x:v>IVA deducible confirmado</x:v>
      </x:c>
      <x:c r="B11" s="14" t="n">
        <x:f>SUM(C11:F11)</x:f>
        <x:v>0</x:v>
      </x:c>
      <x:c r="C11" s="14" t="n">
        <x:f>SUMIFS('Gastos'!$T$2:$T$201,'Gastos'!$C$2:$C$201,$B$3,'Gastos'!$D$2:$D$201,1,'Gastos'!$M$2:$M$201,"Confirmado")</x:f>
        <x:v>0</x:v>
      </x:c>
      <x:c r="D11" s="14" t="n">
        <x:f>SUMIFS('Gastos'!$T$2:$T$201,'Gastos'!$C$2:$C$201,$B$3,'Gastos'!$D$2:$D$201,2,'Gastos'!$M$2:$M$201,"Confirmado")</x:f>
        <x:v>0</x:v>
      </x:c>
      <x:c r="E11" s="14" t="n">
        <x:f>SUMIFS('Gastos'!$T$2:$T$201,'Gastos'!$C$2:$C$201,$B$3,'Gastos'!$D$2:$D$201,3,'Gastos'!$M$2:$M$201,"Confirmado")</x:f>
        <x:v>0</x:v>
      </x:c>
      <x:c r="F11" s="14" t="n">
        <x:f>SUMIFS('Gastos'!$T$2:$T$201,'Gastos'!$C$2:$C$201,$B$3,'Gastos'!$D$2:$D$201,4,'Gastos'!$M$2:$M$201,"Confirmado")</x:f>
        <x:v>0</x:v>
      </x:c>
    </x:row>
    <x:row r="12">
      <x:c r="A12" s="12" t="str">
        <x:v>Retenciones en ingresos</x:v>
      </x:c>
      <x:c r="B12" s="14" t="n">
        <x:f>SUM(C12:F12)</x:f>
        <x:v>0</x:v>
      </x:c>
      <x:c r="C12" s="14" t="n">
        <x:f>SUMIFS('Ingresos'!$K$2:$K$201,'Ingresos'!$C$2:$C$201,$B$3,'Ingresos'!$D$2:$D$201,1,'Ingresos'!$M$2:$M$201,"Confirmado")</x:f>
        <x:v>0</x:v>
      </x:c>
      <x:c r="D12" s="14" t="n">
        <x:f>SUMIFS('Ingresos'!$K$2:$K$201,'Ingresos'!$C$2:$C$201,$B$3,'Ingresos'!$D$2:$D$201,2,'Ingresos'!$M$2:$M$201,"Confirmado")</x:f>
        <x:v>0</x:v>
      </x:c>
      <x:c r="E12" s="14" t="n">
        <x:f>SUMIFS('Ingresos'!$K$2:$K$201,'Ingresos'!$C$2:$C$201,$B$3,'Ingresos'!$D$2:$D$201,3,'Ingresos'!$M$2:$M$201,"Confirmado")</x:f>
        <x:v>0</x:v>
      </x:c>
      <x:c r="F12" s="14" t="n">
        <x:f>SUMIFS('Ingresos'!$K$2:$K$201,'Ingresos'!$C$2:$C$201,$B$3,'Ingresos'!$D$2:$D$201,4,'Ingresos'!$M$2:$M$201,"Confirmado")</x:f>
        <x:v>0</x:v>
      </x:c>
    </x:row>
    <x:row r="13">
      <x:c r="A13" s="12" t="str">
        <x:v>Operaciones por revisar</x:v>
      </x:c>
      <x:c r="B13" s="12" t="n">
        <x:f>SUM(C13:F13)</x:f>
        <x:v>0</x:v>
      </x:c>
      <x:c r="C13" s="12" t="n">
        <x:f>COUNTIFS('Ingresos'!$C$2:$C$201,$B$3,'Ingresos'!$D$2:$D$201,1,'Ingresos'!$M$2:$M$201,"&lt;&gt;Confirmado",'Ingresos'!$M$2:$M$201,"&lt;&gt;Excluido")+COUNTIFS('Gastos'!$C$2:$C$201,$B$3,'Gastos'!$D$2:$D$201,1,'Gastos'!$M$2:$M$201,"&lt;&gt;Confirmado",'Gastos'!$M$2:$M$201,"&lt;&gt;Excluido")</x:f>
        <x:v>0</x:v>
      </x:c>
      <x:c r="D13" s="12" t="n">
        <x:f>COUNTIFS('Ingresos'!$C$2:$C$201,$B$3,'Ingresos'!$D$2:$D$201,2,'Ingresos'!$M$2:$M$201,"&lt;&gt;Confirmado",'Ingresos'!$M$2:$M$201,"&lt;&gt;Excluido")+COUNTIFS('Gastos'!$C$2:$C$201,$B$3,'Gastos'!$D$2:$D$201,2,'Gastos'!$M$2:$M$201,"&lt;&gt;Confirmado",'Gastos'!$M$2:$M$201,"&lt;&gt;Excluido")</x:f>
        <x:v>0</x:v>
      </x:c>
      <x:c r="E13" s="12" t="n">
        <x:f>COUNTIFS('Ingresos'!$C$2:$C$201,$B$3,'Ingresos'!$D$2:$D$201,3,'Ingresos'!$M$2:$M$201,"&lt;&gt;Confirmado",'Ingresos'!$M$2:$M$201,"&lt;&gt;Excluido")+COUNTIFS('Gastos'!$C$2:$C$201,$B$3,'Gastos'!$D$2:$D$201,3,'Gastos'!$M$2:$M$201,"&lt;&gt;Confirmado",'Gastos'!$M$2:$M$201,"&lt;&gt;Excluido")</x:f>
        <x:v>0</x:v>
      </x:c>
      <x:c r="F13" s="12" t="n">
        <x:f>COUNTIFS('Ingresos'!$C$2:$C$201,$B$3,'Ingresos'!$D$2:$D$201,4,'Ingresos'!$M$2:$M$201,"&lt;&gt;Confirmado",'Ingresos'!$M$2:$M$201,"&lt;&gt;Excluido")+COUNTIFS('Gastos'!$C$2:$C$201,$B$3,'Gastos'!$D$2:$D$201,4,'Gastos'!$M$2:$M$201,"&lt;&gt;Confirmado",'Gastos'!$M$2:$M$201,"&lt;&gt;Excluido")</x:f>
        <x:v>0</x:v>
      </x:c>
    </x:row>
    <x:row r="14">
      <x:c r="A14" s="12"/>
      <x:c r="B14" s="12"/>
      <x:c r="C14" s="12"/>
      <x:c r="D14" s="12"/>
      <x:c r="E14" s="12"/>
      <x:c r="F14" s="12"/>
    </x:row>
    <x:row r="15">
      <x:c r="A15" s="12" t="str">
        <x:v>Sin datos: cero no acredita una declaración completa.</x:v>
      </x:c>
      <x:c r="B15" s="12"/>
      <x:c r="C15" s="12"/>
      <x:c r="D15" s="12"/>
      <x:c r="E15" s="12"/>
      <x:c r="F15" s="12"/>
    </x:row>
    <x:row r="16">
      <x:c r="A16" s="12" t="str">
        <x:v>Amortizaciones: trasladar las aprobadas a Gastos una sola vez.</x:v>
      </x:c>
      <x:c r="B16" s="12"/>
      <x:c r="C16" s="12"/>
      <x:c r="D16" s="12"/>
      <x:c r="E16" s="12"/>
      <x:c r="F16" s="12"/>
    </x:row>
    <x:row r="17">
      <x:c r="A17" s="12" t="str">
        <x:v>IVA deducible e IRPF se revisan de forma independiente.</x:v>
      </x:c>
      <x:c r="B17" s="12"/>
      <x:c r="C17" s="12"/>
      <x:c r="D17" s="12"/>
      <x:c r="E17" s="12"/>
      <x:c r="F17" s="12"/>
    </x:row>
  </x:sheetData>
  <x:pageMargins left="0.7" right="0.7" top="0.75" bottom="0.75" header="0.3" footer="0.3"/>
  <x:drawing xmlns:r="http://schemas.openxmlformats.org/officeDocument/2006/relationships" r:id="R0f9a3e8d408f4c4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55" hidden="0" customWidth="1"/>
  </x:cols>
  <x:sheetData>
    <x:row r="1" ht="35" customHeight="1">
      <x:c r="A1" s="10" t="str">
        <x:v>Configuración</x:v>
      </x:c>
      <x:c r="B1" s="10" t="str">
        <x:v>Valor</x:v>
      </x:c>
    </x:row>
    <x:row r="2" ht="35" customHeight="1">
      <x:c r="A2" s="10" t="str">
        <x:v>Ejercicio seleccionado</x:v>
      </x:c>
      <x:c r="B2" s="11" t="n">
        <x:v>2026</x:v>
      </x:c>
    </x:row>
    <x:row r="3" ht="35" customHeight="1">
      <x:c r="A3" s="10" t="str">
        <x:v>Capacidad por registro</x:v>
      </x:c>
      <x:c r="B3" s="10" t="n">
        <x:v>200</x:v>
      </x:c>
    </x:row>
    <x:row r="4" ht="35" customHeight="1">
      <x:c r="A4" s="10" t="str">
        <x:v>Datos de entrada</x:v>
      </x:c>
      <x:c r="B4" s="10" t="str">
        <x:v>Celdas blancas; fórmulas en gris</x:v>
      </x:c>
    </x:row>
    <x:row r="5" ht="35" customHeight="1">
      <x:c r="A5" s="10" t="str">
        <x:v>Confirmación fiscal</x:v>
      </x:c>
      <x:c r="B5" s="10" t="str">
        <x:v>Solo registros Confirmado alimentan totales fiscales</x:v>
      </x:c>
    </x:row>
    <x:row r="6" ht="35" customHeight="1">
      <x:c r="A6" s="10" t="str">
        <x:v>Gastos Q/R</x:v>
      </x:c>
      <x:c r="B6" s="10" t="str">
        <x:v>Introducir importes aprobados tras revisar evidencia</x:v>
      </x:c>
    </x:row>
    <x:row r="7" ht="35" customHeight="1">
      <x:c r="A7" s="10" t="str">
        <x:v>Bienes</x:v>
      </x:c>
      <x:c r="B7" s="10" t="str">
        <x:v>No sumar compra y amortización dos veces</x:v>
      </x:c>
    </x:row>
    <x:row r="8" ht="35" customHeight="1">
      <x:c r="A8" s="10" t="str">
        <x:v>Resumen</x:v>
      </x:c>
      <x:c r="B8" s="10" t="str">
        <x:v>No equivale a una autoliquidación ni calcula devolución</x:v>
      </x:c>
    </x:row>
    <x:row r="9" ht="35" customHeight="1">
      <x:c r="A9" s="10" t="str">
        <x:v>Ampliación</x:v>
      </x:c>
      <x:c r="B9" s="10" t="str">
        <x:v>Copiar fórmulas y ampliar TODOS los rangos del resumen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44" customHeight="1">
      <x:c r="A1" s="4" t="str">
        <x:v>ID</x:v>
      </x:c>
      <x:c r="B1" s="4" t="str">
        <x:v>Fecha devengo</x:v>
      </x:c>
      <x:c r="C1" s="4" t="str">
        <x:v>Año</x:v>
      </x:c>
      <x:c r="D1" s="4" t="str">
        <x:v>Trimestre</x:v>
      </x:c>
      <x:c r="E1" s="4" t="str">
        <x:v>Factura</x:v>
      </x:c>
      <x:c r="F1" s="4" t="str">
        <x:v>Cliente</x:v>
      </x:c>
      <x:c r="G1" s="4" t="str">
        <x:v>Actividad</x:v>
      </x:c>
      <x:c r="H1" s="4" t="str">
        <x:v>Categoría</x:v>
      </x:c>
      <x:c r="I1" s="4" t="str">
        <x:v>Base</x:v>
      </x:c>
      <x:c r="J1" s="4" t="str">
        <x:v>IVA repercutido</x:v>
      </x:c>
      <x:c r="K1" s="4" t="str">
        <x:v>Retención IRPF</x:v>
      </x:c>
      <x:c r="L1" s="4" t="str">
        <x:v>Total factura</x:v>
      </x:c>
      <x:c r="M1" s="4" t="str">
        <x:v>Estado revisión</x:v>
      </x:c>
      <x:c r="N1" s="4" t="str">
        <x:v>Cobro</x:v>
      </x:c>
      <x:c r="O1" s="4" t="str">
        <x:v>Método</x:v>
      </x:c>
      <x:c r="P1" s="4" t="str">
        <x:v>Notas</x:v>
      </x:c>
      <x:c r="Q1" s="4" t="str">
        <x:v>Ingreso computable confirmado</x:v>
      </x:c>
    </x:row>
    <x:row r="2">
      <x:c r="A2" s="1"/>
      <x:c r="B2" s="5"/>
      <x:c r="C2" s="7" t="str">
        <x:f>IF(B2="","",YEAR(B2))</x:f>
      </x:c>
      <x:c r="D2" s="7" t="str">
        <x:f>IF(B2="","",INT((MONTH(B2)-1)/3)+1)</x:f>
      </x:c>
      <x:c r="E2" s="1"/>
      <x:c r="F2" s="1"/>
      <x:c r="G2" s="1"/>
      <x:c r="H2" s="1"/>
      <x:c r="I2" s="6"/>
      <x:c r="J2" s="6"/>
      <x:c r="K2" s="6"/>
      <x:c r="L2" s="8" t="str">
        <x:f>IF(I2="","",I2+J2-K2)</x:f>
      </x:c>
      <x:c r="M2" s="1"/>
      <x:c r="N2" s="1"/>
      <x:c r="O2" s="1"/>
      <x:c r="P2" s="1"/>
      <x:c r="Q2" s="7" t="n">
        <x:f>IF(AND(M2="Confirmado",ISNUMBER(I2)),I2,0)</x:f>
        <x:v>0</x:v>
      </x:c>
    </x:row>
    <x:row r="3">
      <x:c r="A3" s="1"/>
      <x:c r="B3" s="5"/>
      <x:c r="C3" s="7" t="str">
        <x:f>IF(B3="","",YEAR(B3))</x:f>
      </x:c>
      <x:c r="D3" s="7" t="str">
        <x:f>IF(B3="","",INT((MONTH(B3)-1)/3)+1)</x:f>
      </x:c>
      <x:c r="E3" s="1"/>
      <x:c r="F3" s="1"/>
      <x:c r="G3" s="1"/>
      <x:c r="H3" s="1"/>
      <x:c r="I3" s="6"/>
      <x:c r="J3" s="6"/>
      <x:c r="K3" s="6"/>
      <x:c r="L3" s="8" t="str">
        <x:f>IF(I3="","",I3+J3-K3)</x:f>
      </x:c>
      <x:c r="M3" s="1"/>
      <x:c r="N3" s="1"/>
      <x:c r="O3" s="1"/>
      <x:c r="P3" s="1"/>
      <x:c r="Q3" s="7" t="n">
        <x:f>IF(AND(M3="Confirmado",ISNUMBER(I3)),I3,0)</x:f>
        <x:v>0</x:v>
      </x:c>
    </x:row>
    <x:row r="4">
      <x:c r="A4" s="1"/>
      <x:c r="B4" s="5"/>
      <x:c r="C4" s="7" t="str">
        <x:f>IF(B4="","",YEAR(B4))</x:f>
      </x:c>
      <x:c r="D4" s="7" t="str">
        <x:f>IF(B4="","",INT((MONTH(B4)-1)/3)+1)</x:f>
      </x:c>
      <x:c r="E4" s="1"/>
      <x:c r="F4" s="1"/>
      <x:c r="G4" s="1"/>
      <x:c r="H4" s="1"/>
      <x:c r="I4" s="6"/>
      <x:c r="J4" s="6"/>
      <x:c r="K4" s="6"/>
      <x:c r="L4" s="8" t="str">
        <x:f>IF(I4="","",I4+J4-K4)</x:f>
      </x:c>
      <x:c r="M4" s="1"/>
      <x:c r="N4" s="1"/>
      <x:c r="O4" s="1"/>
      <x:c r="P4" s="1"/>
      <x:c r="Q4" s="7" t="n">
        <x:f>IF(AND(M4="Confirmado",ISNUMBER(I4)),I4,0)</x:f>
        <x:v>0</x:v>
      </x:c>
    </x:row>
    <x:row r="5">
      <x:c r="A5" s="1"/>
      <x:c r="B5" s="5"/>
      <x:c r="C5" s="7" t="str">
        <x:f>IF(B5="","",YEAR(B5))</x:f>
      </x:c>
      <x:c r="D5" s="7" t="str">
        <x:f>IF(B5="","",INT((MONTH(B5)-1)/3)+1)</x:f>
      </x:c>
      <x:c r="E5" s="1"/>
      <x:c r="F5" s="1"/>
      <x:c r="G5" s="1"/>
      <x:c r="H5" s="1"/>
      <x:c r="I5" s="6"/>
      <x:c r="J5" s="6"/>
      <x:c r="K5" s="6"/>
      <x:c r="L5" s="8" t="str">
        <x:f>IF(I5="","",I5+J5-K5)</x:f>
      </x:c>
      <x:c r="M5" s="1"/>
      <x:c r="N5" s="1"/>
      <x:c r="O5" s="1"/>
      <x:c r="P5" s="1"/>
      <x:c r="Q5" s="7" t="n">
        <x:f>IF(AND(M5="Confirmado",ISNUMBER(I5)),I5,0)</x:f>
        <x:v>0</x:v>
      </x:c>
    </x:row>
    <x:row r="6">
      <x:c r="A6" s="1"/>
      <x:c r="B6" s="5"/>
      <x:c r="C6" s="7" t="str">
        <x:f>IF(B6="","",YEAR(B6))</x:f>
      </x:c>
      <x:c r="D6" s="7" t="str">
        <x:f>IF(B6="","",INT((MONTH(B6)-1)/3)+1)</x:f>
      </x:c>
      <x:c r="E6" s="1"/>
      <x:c r="F6" s="1"/>
      <x:c r="G6" s="1"/>
      <x:c r="H6" s="1"/>
      <x:c r="I6" s="6"/>
      <x:c r="J6" s="6"/>
      <x:c r="K6" s="6"/>
      <x:c r="L6" s="8" t="str">
        <x:f>IF(I6="","",I6+J6-K6)</x:f>
      </x:c>
      <x:c r="M6" s="1"/>
      <x:c r="N6" s="1"/>
      <x:c r="O6" s="1"/>
      <x:c r="P6" s="1"/>
      <x:c r="Q6" s="7" t="n">
        <x:f>IF(AND(M6="Confirmado",ISNUMBER(I6)),I6,0)</x:f>
        <x:v>0</x:v>
      </x:c>
    </x:row>
    <x:row r="7">
      <x:c r="A7" s="1"/>
      <x:c r="B7" s="5"/>
      <x:c r="C7" s="7" t="str">
        <x:f>IF(B7="","",YEAR(B7))</x:f>
      </x:c>
      <x:c r="D7" s="7" t="str">
        <x:f>IF(B7="","",INT((MONTH(B7)-1)/3)+1)</x:f>
      </x:c>
      <x:c r="E7" s="1"/>
      <x:c r="F7" s="1"/>
      <x:c r="G7" s="1"/>
      <x:c r="H7" s="1"/>
      <x:c r="I7" s="6"/>
      <x:c r="J7" s="6"/>
      <x:c r="K7" s="6"/>
      <x:c r="L7" s="8" t="str">
        <x:f>IF(I7="","",I7+J7-K7)</x:f>
      </x:c>
      <x:c r="M7" s="1"/>
      <x:c r="N7" s="1"/>
      <x:c r="O7" s="1"/>
      <x:c r="P7" s="1"/>
      <x:c r="Q7" s="7" t="n">
        <x:f>IF(AND(M7="Confirmado",ISNUMBER(I7)),I7,0)</x:f>
        <x:v>0</x:v>
      </x:c>
    </x:row>
    <x:row r="8">
      <x:c r="A8" s="1"/>
      <x:c r="B8" s="5"/>
      <x:c r="C8" s="7" t="str">
        <x:f>IF(B8="","",YEAR(B8))</x:f>
      </x:c>
      <x:c r="D8" s="7" t="str">
        <x:f>IF(B8="","",INT((MONTH(B8)-1)/3)+1)</x:f>
      </x:c>
      <x:c r="E8" s="1"/>
      <x:c r="F8" s="1"/>
      <x:c r="G8" s="1"/>
      <x:c r="H8" s="1"/>
      <x:c r="I8" s="6"/>
      <x:c r="J8" s="6"/>
      <x:c r="K8" s="6"/>
      <x:c r="L8" s="8" t="str">
        <x:f>IF(I8="","",I8+J8-K8)</x:f>
      </x:c>
      <x:c r="M8" s="1"/>
      <x:c r="N8" s="1"/>
      <x:c r="O8" s="1"/>
      <x:c r="P8" s="1"/>
      <x:c r="Q8" s="7" t="n">
        <x:f>IF(AND(M8="Confirmado",ISNUMBER(I8)),I8,0)</x:f>
        <x:v>0</x:v>
      </x:c>
    </x:row>
    <x:row r="9">
      <x:c r="A9" s="1"/>
      <x:c r="B9" s="5"/>
      <x:c r="C9" s="7" t="str">
        <x:f>IF(B9="","",YEAR(B9))</x:f>
      </x:c>
      <x:c r="D9" s="7" t="str">
        <x:f>IF(B9="","",INT((MONTH(B9)-1)/3)+1)</x:f>
      </x:c>
      <x:c r="E9" s="1"/>
      <x:c r="F9" s="1"/>
      <x:c r="G9" s="1"/>
      <x:c r="H9" s="1"/>
      <x:c r="I9" s="6"/>
      <x:c r="J9" s="6"/>
      <x:c r="K9" s="6"/>
      <x:c r="L9" s="8" t="str">
        <x:f>IF(I9="","",I9+J9-K9)</x:f>
      </x:c>
      <x:c r="M9" s="1"/>
      <x:c r="N9" s="1"/>
      <x:c r="O9" s="1"/>
      <x:c r="P9" s="1"/>
      <x:c r="Q9" s="7" t="n">
        <x:f>IF(AND(M9="Confirmado",ISNUMBER(I9)),I9,0)</x:f>
        <x:v>0</x:v>
      </x:c>
    </x:row>
    <x:row r="10">
      <x:c r="A10" s="1"/>
      <x:c r="B10" s="5"/>
      <x:c r="C10" s="7" t="str">
        <x:f>IF(B10="","",YEAR(B10))</x:f>
      </x:c>
      <x:c r="D10" s="7" t="str">
        <x:f>IF(B10="","",INT((MONTH(B10)-1)/3)+1)</x:f>
      </x:c>
      <x:c r="E10" s="1"/>
      <x:c r="F10" s="1"/>
      <x:c r="G10" s="1"/>
      <x:c r="H10" s="1"/>
      <x:c r="I10" s="6"/>
      <x:c r="J10" s="6"/>
      <x:c r="K10" s="6"/>
      <x:c r="L10" s="8" t="str">
        <x:f>IF(I10="","",I10+J10-K10)</x:f>
      </x:c>
      <x:c r="M10" s="1"/>
      <x:c r="N10" s="1"/>
      <x:c r="O10" s="1"/>
      <x:c r="P10" s="1"/>
      <x:c r="Q10" s="7" t="n">
        <x:f>IF(AND(M10="Confirmado",ISNUMBER(I10)),I10,0)</x:f>
        <x:v>0</x:v>
      </x:c>
    </x:row>
    <x:row r="11">
      <x:c r="A11" s="1"/>
      <x:c r="B11" s="5"/>
      <x:c r="C11" s="7" t="str">
        <x:f>IF(B11="","",YEAR(B11))</x:f>
      </x:c>
      <x:c r="D11" s="7" t="str">
        <x:f>IF(B11="","",INT((MONTH(B11)-1)/3)+1)</x:f>
      </x:c>
      <x:c r="E11" s="1"/>
      <x:c r="F11" s="1"/>
      <x:c r="G11" s="1"/>
      <x:c r="H11" s="1"/>
      <x:c r="I11" s="6"/>
      <x:c r="J11" s="6"/>
      <x:c r="K11" s="6"/>
      <x:c r="L11" s="8" t="str">
        <x:f>IF(I11="","",I11+J11-K11)</x:f>
      </x:c>
      <x:c r="M11" s="1"/>
      <x:c r="N11" s="1"/>
      <x:c r="O11" s="1"/>
      <x:c r="P11" s="1"/>
      <x:c r="Q11" s="7" t="n">
        <x:f>IF(AND(M11="Confirmado",ISNUMBER(I11)),I11,0)</x:f>
        <x:v>0</x:v>
      </x:c>
    </x:row>
    <x:row r="12">
      <x:c r="A12" s="1"/>
      <x:c r="B12" s="5"/>
      <x:c r="C12" s="7" t="str">
        <x:f>IF(B12="","",YEAR(B12))</x:f>
      </x:c>
      <x:c r="D12" s="7" t="str">
        <x:f>IF(B12="","",INT((MONTH(B12)-1)/3)+1)</x:f>
      </x:c>
      <x:c r="E12" s="1"/>
      <x:c r="F12" s="1"/>
      <x:c r="G12" s="1"/>
      <x:c r="H12" s="1"/>
      <x:c r="I12" s="6"/>
      <x:c r="J12" s="6"/>
      <x:c r="K12" s="6"/>
      <x:c r="L12" s="8" t="str">
        <x:f>IF(I12="","",I12+J12-K12)</x:f>
      </x:c>
      <x:c r="M12" s="1"/>
      <x:c r="N12" s="1"/>
      <x:c r="O12" s="1"/>
      <x:c r="P12" s="1"/>
      <x:c r="Q12" s="7" t="n">
        <x:f>IF(AND(M12="Confirmado",ISNUMBER(I12)),I12,0)</x:f>
        <x:v>0</x:v>
      </x:c>
    </x:row>
    <x:row r="13">
      <x:c r="A13" s="1"/>
      <x:c r="B13" s="5"/>
      <x:c r="C13" s="7" t="str">
        <x:f>IF(B13="","",YEAR(B13))</x:f>
      </x:c>
      <x:c r="D13" s="7" t="str">
        <x:f>IF(B13="","",INT((MONTH(B13)-1)/3)+1)</x:f>
      </x:c>
      <x:c r="E13" s="1"/>
      <x:c r="F13" s="1"/>
      <x:c r="G13" s="1"/>
      <x:c r="H13" s="1"/>
      <x:c r="I13" s="6"/>
      <x:c r="J13" s="6"/>
      <x:c r="K13" s="6"/>
      <x:c r="L13" s="8" t="str">
        <x:f>IF(I13="","",I13+J13-K13)</x:f>
      </x:c>
      <x:c r="M13" s="1"/>
      <x:c r="N13" s="1"/>
      <x:c r="O13" s="1"/>
      <x:c r="P13" s="1"/>
      <x:c r="Q13" s="7" t="n">
        <x:f>IF(AND(M13="Confirmado",ISNUMBER(I13)),I13,0)</x:f>
        <x:v>0</x:v>
      </x:c>
    </x:row>
    <x:row r="14">
      <x:c r="A14" s="1"/>
      <x:c r="B14" s="5"/>
      <x:c r="C14" s="7" t="str">
        <x:f>IF(B14="","",YEAR(B14))</x:f>
      </x:c>
      <x:c r="D14" s="7" t="str">
        <x:f>IF(B14="","",INT((MONTH(B14)-1)/3)+1)</x:f>
      </x:c>
      <x:c r="E14" s="1"/>
      <x:c r="F14" s="1"/>
      <x:c r="G14" s="1"/>
      <x:c r="H14" s="1"/>
      <x:c r="I14" s="6"/>
      <x:c r="J14" s="6"/>
      <x:c r="K14" s="6"/>
      <x:c r="L14" s="8" t="str">
        <x:f>IF(I14="","",I14+J14-K14)</x:f>
      </x:c>
      <x:c r="M14" s="1"/>
      <x:c r="N14" s="1"/>
      <x:c r="O14" s="1"/>
      <x:c r="P14" s="1"/>
      <x:c r="Q14" s="7" t="n">
        <x:f>IF(AND(M14="Confirmado",ISNUMBER(I14)),I14,0)</x:f>
        <x:v>0</x:v>
      </x:c>
    </x:row>
    <x:row r="15">
      <x:c r="A15" s="1"/>
      <x:c r="B15" s="5"/>
      <x:c r="C15" s="7" t="str">
        <x:f>IF(B15="","",YEAR(B15))</x:f>
      </x:c>
      <x:c r="D15" s="7" t="str">
        <x:f>IF(B15="","",INT((MONTH(B15)-1)/3)+1)</x:f>
      </x:c>
      <x:c r="E15" s="1"/>
      <x:c r="F15" s="1"/>
      <x:c r="G15" s="1"/>
      <x:c r="H15" s="1"/>
      <x:c r="I15" s="6"/>
      <x:c r="J15" s="6"/>
      <x:c r="K15" s="6"/>
      <x:c r="L15" s="8" t="str">
        <x:f>IF(I15="","",I15+J15-K15)</x:f>
      </x:c>
      <x:c r="M15" s="1"/>
      <x:c r="N15" s="1"/>
      <x:c r="O15" s="1"/>
      <x:c r="P15" s="1"/>
      <x:c r="Q15" s="7" t="n">
        <x:f>IF(AND(M15="Confirmado",ISNUMBER(I15)),I15,0)</x:f>
        <x:v>0</x:v>
      </x:c>
    </x:row>
    <x:row r="16">
      <x:c r="A16" s="1"/>
      <x:c r="B16" s="5"/>
      <x:c r="C16" s="7" t="str">
        <x:f>IF(B16="","",YEAR(B16))</x:f>
      </x:c>
      <x:c r="D16" s="7" t="str">
        <x:f>IF(B16="","",INT((MONTH(B16)-1)/3)+1)</x:f>
      </x:c>
      <x:c r="E16" s="1"/>
      <x:c r="F16" s="1"/>
      <x:c r="G16" s="1"/>
      <x:c r="H16" s="1"/>
      <x:c r="I16" s="6"/>
      <x:c r="J16" s="6"/>
      <x:c r="K16" s="6"/>
      <x:c r="L16" s="8" t="str">
        <x:f>IF(I16="","",I16+J16-K16)</x:f>
      </x:c>
      <x:c r="M16" s="1"/>
      <x:c r="N16" s="1"/>
      <x:c r="O16" s="1"/>
      <x:c r="P16" s="1"/>
      <x:c r="Q16" s="7" t="n">
        <x:f>IF(AND(M16="Confirmado",ISNUMBER(I16)),I16,0)</x:f>
        <x:v>0</x:v>
      </x:c>
    </x:row>
    <x:row r="17">
      <x:c r="A17" s="1"/>
      <x:c r="B17" s="5"/>
      <x:c r="C17" s="7" t="str">
        <x:f>IF(B17="","",YEAR(B17))</x:f>
      </x:c>
      <x:c r="D17" s="7" t="str">
        <x:f>IF(B17="","",INT((MONTH(B17)-1)/3)+1)</x:f>
      </x:c>
      <x:c r="E17" s="1"/>
      <x:c r="F17" s="1"/>
      <x:c r="G17" s="1"/>
      <x:c r="H17" s="1"/>
      <x:c r="I17" s="6"/>
      <x:c r="J17" s="6"/>
      <x:c r="K17" s="6"/>
      <x:c r="L17" s="8" t="str">
        <x:f>IF(I17="","",I17+J17-K17)</x:f>
      </x:c>
      <x:c r="M17" s="1"/>
      <x:c r="N17" s="1"/>
      <x:c r="O17" s="1"/>
      <x:c r="P17" s="1"/>
      <x:c r="Q17" s="7" t="n">
        <x:f>IF(AND(M17="Confirmado",ISNUMBER(I17)),I17,0)</x:f>
        <x:v>0</x:v>
      </x:c>
    </x:row>
    <x:row r="18">
      <x:c r="A18" s="1"/>
      <x:c r="B18" s="5"/>
      <x:c r="C18" s="7" t="str">
        <x:f>IF(B18="","",YEAR(B18))</x:f>
      </x:c>
      <x:c r="D18" s="7" t="str">
        <x:f>IF(B18="","",INT((MONTH(B18)-1)/3)+1)</x:f>
      </x:c>
      <x:c r="E18" s="1"/>
      <x:c r="F18" s="1"/>
      <x:c r="G18" s="1"/>
      <x:c r="H18" s="1"/>
      <x:c r="I18" s="6"/>
      <x:c r="J18" s="6"/>
      <x:c r="K18" s="6"/>
      <x:c r="L18" s="8" t="str">
        <x:f>IF(I18="","",I18+J18-K18)</x:f>
      </x:c>
      <x:c r="M18" s="1"/>
      <x:c r="N18" s="1"/>
      <x:c r="O18" s="1"/>
      <x:c r="P18" s="1"/>
      <x:c r="Q18" s="7" t="n">
        <x:f>IF(AND(M18="Confirmado",ISNUMBER(I18)),I18,0)</x:f>
        <x:v>0</x:v>
      </x:c>
    </x:row>
    <x:row r="19">
      <x:c r="A19" s="1"/>
      <x:c r="B19" s="5"/>
      <x:c r="C19" s="7" t="str">
        <x:f>IF(B19="","",YEAR(B19))</x:f>
      </x:c>
      <x:c r="D19" s="7" t="str">
        <x:f>IF(B19="","",INT((MONTH(B19)-1)/3)+1)</x:f>
      </x:c>
      <x:c r="E19" s="1"/>
      <x:c r="F19" s="1"/>
      <x:c r="G19" s="1"/>
      <x:c r="H19" s="1"/>
      <x:c r="I19" s="6"/>
      <x:c r="J19" s="6"/>
      <x:c r="K19" s="6"/>
      <x:c r="L19" s="8" t="str">
        <x:f>IF(I19="","",I19+J19-K19)</x:f>
      </x:c>
      <x:c r="M19" s="1"/>
      <x:c r="N19" s="1"/>
      <x:c r="O19" s="1"/>
      <x:c r="P19" s="1"/>
      <x:c r="Q19" s="7" t="n">
        <x:f>IF(AND(M19="Confirmado",ISNUMBER(I19)),I19,0)</x:f>
        <x:v>0</x:v>
      </x:c>
    </x:row>
    <x:row r="20">
      <x:c r="A20" s="1"/>
      <x:c r="B20" s="5"/>
      <x:c r="C20" s="7" t="str">
        <x:f>IF(B20="","",YEAR(B20))</x:f>
      </x:c>
      <x:c r="D20" s="7" t="str">
        <x:f>IF(B20="","",INT((MONTH(B20)-1)/3)+1)</x:f>
      </x:c>
      <x:c r="E20" s="1"/>
      <x:c r="F20" s="1"/>
      <x:c r="G20" s="1"/>
      <x:c r="H20" s="1"/>
      <x:c r="I20" s="6"/>
      <x:c r="J20" s="6"/>
      <x:c r="K20" s="6"/>
      <x:c r="L20" s="8" t="str">
        <x:f>IF(I20="","",I20+J20-K20)</x:f>
      </x:c>
      <x:c r="M20" s="1"/>
      <x:c r="N20" s="1"/>
      <x:c r="O20" s="1"/>
      <x:c r="P20" s="1"/>
      <x:c r="Q20" s="7" t="n">
        <x:f>IF(AND(M20="Confirmado",ISNUMBER(I20)),I20,0)</x:f>
        <x:v>0</x:v>
      </x:c>
    </x:row>
    <x:row r="21">
      <x:c r="A21" s="1"/>
      <x:c r="B21" s="5"/>
      <x:c r="C21" s="7" t="str">
        <x:f>IF(B21="","",YEAR(B21))</x:f>
      </x:c>
      <x:c r="D21" s="7" t="str">
        <x:f>IF(B21="","",INT((MONTH(B21)-1)/3)+1)</x:f>
      </x:c>
      <x:c r="E21" s="1"/>
      <x:c r="F21" s="1"/>
      <x:c r="G21" s="1"/>
      <x:c r="H21" s="1"/>
      <x:c r="I21" s="6"/>
      <x:c r="J21" s="6"/>
      <x:c r="K21" s="6"/>
      <x:c r="L21" s="8" t="str">
        <x:f>IF(I21="","",I21+J21-K21)</x:f>
      </x:c>
      <x:c r="M21" s="1"/>
      <x:c r="N21" s="1"/>
      <x:c r="O21" s="1"/>
      <x:c r="P21" s="1"/>
      <x:c r="Q21" s="7" t="n">
        <x:f>IF(AND(M21="Confirmado",ISNUMBER(I21)),I21,0)</x:f>
        <x:v>0</x:v>
      </x:c>
    </x:row>
    <x:row r="22">
      <x:c r="A22" s="1"/>
      <x:c r="B22" s="5"/>
      <x:c r="C22" s="7" t="str">
        <x:f>IF(B22="","",YEAR(B22))</x:f>
      </x:c>
      <x:c r="D22" s="7" t="str">
        <x:f>IF(B22="","",INT((MONTH(B22)-1)/3)+1)</x:f>
      </x:c>
      <x:c r="E22" s="1"/>
      <x:c r="F22" s="1"/>
      <x:c r="G22" s="1"/>
      <x:c r="H22" s="1"/>
      <x:c r="I22" s="6"/>
      <x:c r="J22" s="6"/>
      <x:c r="K22" s="6"/>
      <x:c r="L22" s="8" t="str">
        <x:f>IF(I22="","",I22+J22-K22)</x:f>
      </x:c>
      <x:c r="M22" s="1"/>
      <x:c r="N22" s="1"/>
      <x:c r="O22" s="1"/>
      <x:c r="P22" s="1"/>
      <x:c r="Q22" s="7" t="n">
        <x:f>IF(AND(M22="Confirmado",ISNUMBER(I22)),I22,0)</x:f>
        <x:v>0</x:v>
      </x:c>
    </x:row>
    <x:row r="23">
      <x:c r="A23" s="1"/>
      <x:c r="B23" s="5"/>
      <x:c r="C23" s="7" t="str">
        <x:f>IF(B23="","",YEAR(B23))</x:f>
      </x:c>
      <x:c r="D23" s="7" t="str">
        <x:f>IF(B23="","",INT((MONTH(B23)-1)/3)+1)</x:f>
      </x:c>
      <x:c r="E23" s="1"/>
      <x:c r="F23" s="1"/>
      <x:c r="G23" s="1"/>
      <x:c r="H23" s="1"/>
      <x:c r="I23" s="6"/>
      <x:c r="J23" s="6"/>
      <x:c r="K23" s="6"/>
      <x:c r="L23" s="8" t="str">
        <x:f>IF(I23="","",I23+J23-K23)</x:f>
      </x:c>
      <x:c r="M23" s="1"/>
      <x:c r="N23" s="1"/>
      <x:c r="O23" s="1"/>
      <x:c r="P23" s="1"/>
      <x:c r="Q23" s="7" t="n">
        <x:f>IF(AND(M23="Confirmado",ISNUMBER(I23)),I23,0)</x:f>
        <x:v>0</x:v>
      </x:c>
    </x:row>
    <x:row r="24">
      <x:c r="A24" s="1"/>
      <x:c r="B24" s="5"/>
      <x:c r="C24" s="7" t="str">
        <x:f>IF(B24="","",YEAR(B24))</x:f>
      </x:c>
      <x:c r="D24" s="7" t="str">
        <x:f>IF(B24="","",INT((MONTH(B24)-1)/3)+1)</x:f>
      </x:c>
      <x:c r="E24" s="1"/>
      <x:c r="F24" s="1"/>
      <x:c r="G24" s="1"/>
      <x:c r="H24" s="1"/>
      <x:c r="I24" s="6"/>
      <x:c r="J24" s="6"/>
      <x:c r="K24" s="6"/>
      <x:c r="L24" s="8" t="str">
        <x:f>IF(I24="","",I24+J24-K24)</x:f>
      </x:c>
      <x:c r="M24" s="1"/>
      <x:c r="N24" s="1"/>
      <x:c r="O24" s="1"/>
      <x:c r="P24" s="1"/>
      <x:c r="Q24" s="7" t="n">
        <x:f>IF(AND(M24="Confirmado",ISNUMBER(I24)),I24,0)</x:f>
        <x:v>0</x:v>
      </x:c>
    </x:row>
    <x:row r="25">
      <x:c r="A25" s="1"/>
      <x:c r="B25" s="5"/>
      <x:c r="C25" s="7" t="str">
        <x:f>IF(B25="","",YEAR(B25))</x:f>
      </x:c>
      <x:c r="D25" s="7" t="str">
        <x:f>IF(B25="","",INT((MONTH(B25)-1)/3)+1)</x:f>
      </x:c>
      <x:c r="E25" s="1"/>
      <x:c r="F25" s="1"/>
      <x:c r="G25" s="1"/>
      <x:c r="H25" s="1"/>
      <x:c r="I25" s="6"/>
      <x:c r="J25" s="6"/>
      <x:c r="K25" s="6"/>
      <x:c r="L25" s="8" t="str">
        <x:f>IF(I25="","",I25+J25-K25)</x:f>
      </x:c>
      <x:c r="M25" s="1"/>
      <x:c r="N25" s="1"/>
      <x:c r="O25" s="1"/>
      <x:c r="P25" s="1"/>
      <x:c r="Q25" s="7" t="n">
        <x:f>IF(AND(M25="Confirmado",ISNUMBER(I25)),I25,0)</x:f>
        <x:v>0</x:v>
      </x:c>
    </x:row>
    <x:row r="26">
      <x:c r="A26" s="1"/>
      <x:c r="B26" s="5"/>
      <x:c r="C26" s="7" t="str">
        <x:f>IF(B26="","",YEAR(B26))</x:f>
      </x:c>
      <x:c r="D26" s="7" t="str">
        <x:f>IF(B26="","",INT((MONTH(B26)-1)/3)+1)</x:f>
      </x:c>
      <x:c r="E26" s="1"/>
      <x:c r="F26" s="1"/>
      <x:c r="G26" s="1"/>
      <x:c r="H26" s="1"/>
      <x:c r="I26" s="6"/>
      <x:c r="J26" s="6"/>
      <x:c r="K26" s="6"/>
      <x:c r="L26" s="8" t="str">
        <x:f>IF(I26="","",I26+J26-K26)</x:f>
      </x:c>
      <x:c r="M26" s="1"/>
      <x:c r="N26" s="1"/>
      <x:c r="O26" s="1"/>
      <x:c r="P26" s="1"/>
      <x:c r="Q26" s="7" t="n">
        <x:f>IF(AND(M26="Confirmado",ISNUMBER(I26)),I26,0)</x:f>
        <x:v>0</x:v>
      </x:c>
    </x:row>
    <x:row r="27">
      <x:c r="A27" s="1"/>
      <x:c r="B27" s="5"/>
      <x:c r="C27" s="7" t="str">
        <x:f>IF(B27="","",YEAR(B27))</x:f>
      </x:c>
      <x:c r="D27" s="7" t="str">
        <x:f>IF(B27="","",INT((MONTH(B27)-1)/3)+1)</x:f>
      </x:c>
      <x:c r="E27" s="1"/>
      <x:c r="F27" s="1"/>
      <x:c r="G27" s="1"/>
      <x:c r="H27" s="1"/>
      <x:c r="I27" s="6"/>
      <x:c r="J27" s="6"/>
      <x:c r="K27" s="6"/>
      <x:c r="L27" s="8" t="str">
        <x:f>IF(I27="","",I27+J27-K27)</x:f>
      </x:c>
      <x:c r="M27" s="1"/>
      <x:c r="N27" s="1"/>
      <x:c r="O27" s="1"/>
      <x:c r="P27" s="1"/>
      <x:c r="Q27" s="7" t="n">
        <x:f>IF(AND(M27="Confirmado",ISNUMBER(I27)),I27,0)</x:f>
        <x:v>0</x:v>
      </x:c>
    </x:row>
    <x:row r="28">
      <x:c r="A28" s="1"/>
      <x:c r="B28" s="5"/>
      <x:c r="C28" s="7" t="str">
        <x:f>IF(B28="","",YEAR(B28))</x:f>
      </x:c>
      <x:c r="D28" s="7" t="str">
        <x:f>IF(B28="","",INT((MONTH(B28)-1)/3)+1)</x:f>
      </x:c>
      <x:c r="E28" s="1"/>
      <x:c r="F28" s="1"/>
      <x:c r="G28" s="1"/>
      <x:c r="H28" s="1"/>
      <x:c r="I28" s="6"/>
      <x:c r="J28" s="6"/>
      <x:c r="K28" s="6"/>
      <x:c r="L28" s="8" t="str">
        <x:f>IF(I28="","",I28+J28-K28)</x:f>
      </x:c>
      <x:c r="M28" s="1"/>
      <x:c r="N28" s="1"/>
      <x:c r="O28" s="1"/>
      <x:c r="P28" s="1"/>
      <x:c r="Q28" s="7" t="n">
        <x:f>IF(AND(M28="Confirmado",ISNUMBER(I28)),I28,0)</x:f>
        <x:v>0</x:v>
      </x:c>
    </x:row>
    <x:row r="29">
      <x:c r="A29" s="1"/>
      <x:c r="B29" s="5"/>
      <x:c r="C29" s="7" t="str">
        <x:f>IF(B29="","",YEAR(B29))</x:f>
      </x:c>
      <x:c r="D29" s="7" t="str">
        <x:f>IF(B29="","",INT((MONTH(B29)-1)/3)+1)</x:f>
      </x:c>
      <x:c r="E29" s="1"/>
      <x:c r="F29" s="1"/>
      <x:c r="G29" s="1"/>
      <x:c r="H29" s="1"/>
      <x:c r="I29" s="6"/>
      <x:c r="J29" s="6"/>
      <x:c r="K29" s="6"/>
      <x:c r="L29" s="8" t="str">
        <x:f>IF(I29="","",I29+J29-K29)</x:f>
      </x:c>
      <x:c r="M29" s="1"/>
      <x:c r="N29" s="1"/>
      <x:c r="O29" s="1"/>
      <x:c r="P29" s="1"/>
      <x:c r="Q29" s="7" t="n">
        <x:f>IF(AND(M29="Confirmado",ISNUMBER(I29)),I29,0)</x:f>
        <x:v>0</x:v>
      </x:c>
    </x:row>
    <x:row r="30">
      <x:c r="A30" s="1"/>
      <x:c r="B30" s="5"/>
      <x:c r="C30" s="7" t="str">
        <x:f>IF(B30="","",YEAR(B30))</x:f>
      </x:c>
      <x:c r="D30" s="7" t="str">
        <x:f>IF(B30="","",INT((MONTH(B30)-1)/3)+1)</x:f>
      </x:c>
      <x:c r="E30" s="1"/>
      <x:c r="F30" s="1"/>
      <x:c r="G30" s="1"/>
      <x:c r="H30" s="1"/>
      <x:c r="I30" s="6"/>
      <x:c r="J30" s="6"/>
      <x:c r="K30" s="6"/>
      <x:c r="L30" s="8" t="str">
        <x:f>IF(I30="","",I30+J30-K30)</x:f>
      </x:c>
      <x:c r="M30" s="1"/>
      <x:c r="N30" s="1"/>
      <x:c r="O30" s="1"/>
      <x:c r="P30" s="1"/>
      <x:c r="Q30" s="7" t="n">
        <x:f>IF(AND(M30="Confirmado",ISNUMBER(I30)),I30,0)</x:f>
        <x:v>0</x:v>
      </x:c>
    </x:row>
    <x:row r="31">
      <x:c r="A31" s="1"/>
      <x:c r="B31" s="5"/>
      <x:c r="C31" s="7" t="str">
        <x:f>IF(B31="","",YEAR(B31))</x:f>
      </x:c>
      <x:c r="D31" s="7" t="str">
        <x:f>IF(B31="","",INT((MONTH(B31)-1)/3)+1)</x:f>
      </x:c>
      <x:c r="E31" s="1"/>
      <x:c r="F31" s="1"/>
      <x:c r="G31" s="1"/>
      <x:c r="H31" s="1"/>
      <x:c r="I31" s="6"/>
      <x:c r="J31" s="6"/>
      <x:c r="K31" s="6"/>
      <x:c r="L31" s="8" t="str">
        <x:f>IF(I31="","",I31+J31-K31)</x:f>
      </x:c>
      <x:c r="M31" s="1"/>
      <x:c r="N31" s="1"/>
      <x:c r="O31" s="1"/>
      <x:c r="P31" s="1"/>
      <x:c r="Q31" s="7" t="n">
        <x:f>IF(AND(M31="Confirmado",ISNUMBER(I31)),I31,0)</x:f>
        <x:v>0</x:v>
      </x:c>
    </x:row>
    <x:row r="32">
      <x:c r="A32" s="1"/>
      <x:c r="B32" s="5"/>
      <x:c r="C32" s="7" t="str">
        <x:f>IF(B32="","",YEAR(B32))</x:f>
      </x:c>
      <x:c r="D32" s="7" t="str">
        <x:f>IF(B32="","",INT((MONTH(B32)-1)/3)+1)</x:f>
      </x:c>
      <x:c r="E32" s="1"/>
      <x:c r="F32" s="1"/>
      <x:c r="G32" s="1"/>
      <x:c r="H32" s="1"/>
      <x:c r="I32" s="6"/>
      <x:c r="J32" s="6"/>
      <x:c r="K32" s="6"/>
      <x:c r="L32" s="8" t="str">
        <x:f>IF(I32="","",I32+J32-K32)</x:f>
      </x:c>
      <x:c r="M32" s="1"/>
      <x:c r="N32" s="1"/>
      <x:c r="O32" s="1"/>
      <x:c r="P32" s="1"/>
      <x:c r="Q32" s="7" t="n">
        <x:f>IF(AND(M32="Confirmado",ISNUMBER(I32)),I32,0)</x:f>
        <x:v>0</x:v>
      </x:c>
    </x:row>
    <x:row r="33">
      <x:c r="A33" s="1"/>
      <x:c r="B33" s="5"/>
      <x:c r="C33" s="7" t="str">
        <x:f>IF(B33="","",YEAR(B33))</x:f>
      </x:c>
      <x:c r="D33" s="7" t="str">
        <x:f>IF(B33="","",INT((MONTH(B33)-1)/3)+1)</x:f>
      </x:c>
      <x:c r="E33" s="1"/>
      <x:c r="F33" s="1"/>
      <x:c r="G33" s="1"/>
      <x:c r="H33" s="1"/>
      <x:c r="I33" s="6"/>
      <x:c r="J33" s="6"/>
      <x:c r="K33" s="6"/>
      <x:c r="L33" s="8" t="str">
        <x:f>IF(I33="","",I33+J33-K33)</x:f>
      </x:c>
      <x:c r="M33" s="1"/>
      <x:c r="N33" s="1"/>
      <x:c r="O33" s="1"/>
      <x:c r="P33" s="1"/>
      <x:c r="Q33" s="7" t="n">
        <x:f>IF(AND(M33="Confirmado",ISNUMBER(I33)),I33,0)</x:f>
        <x:v>0</x:v>
      </x:c>
    </x:row>
    <x:row r="34">
      <x:c r="A34" s="1"/>
      <x:c r="B34" s="5"/>
      <x:c r="C34" s="7" t="str">
        <x:f>IF(B34="","",YEAR(B34))</x:f>
      </x:c>
      <x:c r="D34" s="7" t="str">
        <x:f>IF(B34="","",INT((MONTH(B34)-1)/3)+1)</x:f>
      </x:c>
      <x:c r="E34" s="1"/>
      <x:c r="F34" s="1"/>
      <x:c r="G34" s="1"/>
      <x:c r="H34" s="1"/>
      <x:c r="I34" s="6"/>
      <x:c r="J34" s="6"/>
      <x:c r="K34" s="6"/>
      <x:c r="L34" s="8" t="str">
        <x:f>IF(I34="","",I34+J34-K34)</x:f>
      </x:c>
      <x:c r="M34" s="1"/>
      <x:c r="N34" s="1"/>
      <x:c r="O34" s="1"/>
      <x:c r="P34" s="1"/>
      <x:c r="Q34" s="7" t="n">
        <x:f>IF(AND(M34="Confirmado",ISNUMBER(I34)),I34,0)</x:f>
        <x:v>0</x:v>
      </x:c>
    </x:row>
    <x:row r="35">
      <x:c r="A35" s="1"/>
      <x:c r="B35" s="5"/>
      <x:c r="C35" s="7" t="str">
        <x:f>IF(B35="","",YEAR(B35))</x:f>
      </x:c>
      <x:c r="D35" s="7" t="str">
        <x:f>IF(B35="","",INT((MONTH(B35)-1)/3)+1)</x:f>
      </x:c>
      <x:c r="E35" s="1"/>
      <x:c r="F35" s="1"/>
      <x:c r="G35" s="1"/>
      <x:c r="H35" s="1"/>
      <x:c r="I35" s="6"/>
      <x:c r="J35" s="6"/>
      <x:c r="K35" s="6"/>
      <x:c r="L35" s="8" t="str">
        <x:f>IF(I35="","",I35+J35-K35)</x:f>
      </x:c>
      <x:c r="M35" s="1"/>
      <x:c r="N35" s="1"/>
      <x:c r="O35" s="1"/>
      <x:c r="P35" s="1"/>
      <x:c r="Q35" s="7" t="n">
        <x:f>IF(AND(M35="Confirmado",ISNUMBER(I35)),I35,0)</x:f>
        <x:v>0</x:v>
      </x:c>
    </x:row>
    <x:row r="36">
      <x:c r="A36" s="1"/>
      <x:c r="B36" s="5"/>
      <x:c r="C36" s="7" t="str">
        <x:f>IF(B36="","",YEAR(B36))</x:f>
      </x:c>
      <x:c r="D36" s="7" t="str">
        <x:f>IF(B36="","",INT((MONTH(B36)-1)/3)+1)</x:f>
      </x:c>
      <x:c r="E36" s="1"/>
      <x:c r="F36" s="1"/>
      <x:c r="G36" s="1"/>
      <x:c r="H36" s="1"/>
      <x:c r="I36" s="6"/>
      <x:c r="J36" s="6"/>
      <x:c r="K36" s="6"/>
      <x:c r="L36" s="8" t="str">
        <x:f>IF(I36="","",I36+J36-K36)</x:f>
      </x:c>
      <x:c r="M36" s="1"/>
      <x:c r="N36" s="1"/>
      <x:c r="O36" s="1"/>
      <x:c r="P36" s="1"/>
      <x:c r="Q36" s="7" t="n">
        <x:f>IF(AND(M36="Confirmado",ISNUMBER(I36)),I36,0)</x:f>
        <x:v>0</x:v>
      </x:c>
    </x:row>
    <x:row r="37">
      <x:c r="A37" s="1"/>
      <x:c r="B37" s="5"/>
      <x:c r="C37" s="7" t="str">
        <x:f>IF(B37="","",YEAR(B37))</x:f>
      </x:c>
      <x:c r="D37" s="7" t="str">
        <x:f>IF(B37="","",INT((MONTH(B37)-1)/3)+1)</x:f>
      </x:c>
      <x:c r="E37" s="1"/>
      <x:c r="F37" s="1"/>
      <x:c r="G37" s="1"/>
      <x:c r="H37" s="1"/>
      <x:c r="I37" s="6"/>
      <x:c r="J37" s="6"/>
      <x:c r="K37" s="6"/>
      <x:c r="L37" s="8" t="str">
        <x:f>IF(I37="","",I37+J37-K37)</x:f>
      </x:c>
      <x:c r="M37" s="1"/>
      <x:c r="N37" s="1"/>
      <x:c r="O37" s="1"/>
      <x:c r="P37" s="1"/>
      <x:c r="Q37" s="7" t="n">
        <x:f>IF(AND(M37="Confirmado",ISNUMBER(I37)),I37,0)</x:f>
        <x:v>0</x:v>
      </x:c>
    </x:row>
    <x:row r="38">
      <x:c r="A38" s="1"/>
      <x:c r="B38" s="5"/>
      <x:c r="C38" s="7" t="str">
        <x:f>IF(B38="","",YEAR(B38))</x:f>
      </x:c>
      <x:c r="D38" s="7" t="str">
        <x:f>IF(B38="","",INT((MONTH(B38)-1)/3)+1)</x:f>
      </x:c>
      <x:c r="E38" s="1"/>
      <x:c r="F38" s="1"/>
      <x:c r="G38" s="1"/>
      <x:c r="H38" s="1"/>
      <x:c r="I38" s="6"/>
      <x:c r="J38" s="6"/>
      <x:c r="K38" s="6"/>
      <x:c r="L38" s="8" t="str">
        <x:f>IF(I38="","",I38+J38-K38)</x:f>
      </x:c>
      <x:c r="M38" s="1"/>
      <x:c r="N38" s="1"/>
      <x:c r="O38" s="1"/>
      <x:c r="P38" s="1"/>
      <x:c r="Q38" s="7" t="n">
        <x:f>IF(AND(M38="Confirmado",ISNUMBER(I38)),I38,0)</x:f>
        <x:v>0</x:v>
      </x:c>
    </x:row>
    <x:row r="39">
      <x:c r="A39" s="1"/>
      <x:c r="B39" s="5"/>
      <x:c r="C39" s="7" t="str">
        <x:f>IF(B39="","",YEAR(B39))</x:f>
      </x:c>
      <x:c r="D39" s="7" t="str">
        <x:f>IF(B39="","",INT((MONTH(B39)-1)/3)+1)</x:f>
      </x:c>
      <x:c r="E39" s="1"/>
      <x:c r="F39" s="1"/>
      <x:c r="G39" s="1"/>
      <x:c r="H39" s="1"/>
      <x:c r="I39" s="6"/>
      <x:c r="J39" s="6"/>
      <x:c r="K39" s="6"/>
      <x:c r="L39" s="8" t="str">
        <x:f>IF(I39="","",I39+J39-K39)</x:f>
      </x:c>
      <x:c r="M39" s="1"/>
      <x:c r="N39" s="1"/>
      <x:c r="O39" s="1"/>
      <x:c r="P39" s="1"/>
      <x:c r="Q39" s="7" t="n">
        <x:f>IF(AND(M39="Confirmado",ISNUMBER(I39)),I39,0)</x:f>
        <x:v>0</x:v>
      </x:c>
    </x:row>
    <x:row r="40">
      <x:c r="A40" s="1"/>
      <x:c r="B40" s="5"/>
      <x:c r="C40" s="7" t="str">
        <x:f>IF(B40="","",YEAR(B40))</x:f>
      </x:c>
      <x:c r="D40" s="7" t="str">
        <x:f>IF(B40="","",INT((MONTH(B40)-1)/3)+1)</x:f>
      </x:c>
      <x:c r="E40" s="1"/>
      <x:c r="F40" s="1"/>
      <x:c r="G40" s="1"/>
      <x:c r="H40" s="1"/>
      <x:c r="I40" s="6"/>
      <x:c r="J40" s="6"/>
      <x:c r="K40" s="6"/>
      <x:c r="L40" s="8" t="str">
        <x:f>IF(I40="","",I40+J40-K40)</x:f>
      </x:c>
      <x:c r="M40" s="1"/>
      <x:c r="N40" s="1"/>
      <x:c r="O40" s="1"/>
      <x:c r="P40" s="1"/>
      <x:c r="Q40" s="7" t="n">
        <x:f>IF(AND(M40="Confirmado",ISNUMBER(I40)),I40,0)</x:f>
        <x:v>0</x:v>
      </x:c>
    </x:row>
    <x:row r="41">
      <x:c r="A41" s="1"/>
      <x:c r="B41" s="5"/>
      <x:c r="C41" s="7" t="str">
        <x:f>IF(B41="","",YEAR(B41))</x:f>
      </x:c>
      <x:c r="D41" s="7" t="str">
        <x:f>IF(B41="","",INT((MONTH(B41)-1)/3)+1)</x:f>
      </x:c>
      <x:c r="E41" s="1"/>
      <x:c r="F41" s="1"/>
      <x:c r="G41" s="1"/>
      <x:c r="H41" s="1"/>
      <x:c r="I41" s="6"/>
      <x:c r="J41" s="6"/>
      <x:c r="K41" s="6"/>
      <x:c r="L41" s="8" t="str">
        <x:f>IF(I41="","",I41+J41-K41)</x:f>
      </x:c>
      <x:c r="M41" s="1"/>
      <x:c r="N41" s="1"/>
      <x:c r="O41" s="1"/>
      <x:c r="P41" s="1"/>
      <x:c r="Q41" s="7" t="n">
        <x:f>IF(AND(M41="Confirmado",ISNUMBER(I41)),I41,0)</x:f>
        <x:v>0</x:v>
      </x:c>
    </x:row>
    <x:row r="42">
      <x:c r="A42" s="1"/>
      <x:c r="B42" s="5"/>
      <x:c r="C42" s="7" t="str">
        <x:f>IF(B42="","",YEAR(B42))</x:f>
      </x:c>
      <x:c r="D42" s="7" t="str">
        <x:f>IF(B42="","",INT((MONTH(B42)-1)/3)+1)</x:f>
      </x:c>
      <x:c r="E42" s="1"/>
      <x:c r="F42" s="1"/>
      <x:c r="G42" s="1"/>
      <x:c r="H42" s="1"/>
      <x:c r="I42" s="6"/>
      <x:c r="J42" s="6"/>
      <x:c r="K42" s="6"/>
      <x:c r="L42" s="8" t="str">
        <x:f>IF(I42="","",I42+J42-K42)</x:f>
      </x:c>
      <x:c r="M42" s="1"/>
      <x:c r="N42" s="1"/>
      <x:c r="O42" s="1"/>
      <x:c r="P42" s="1"/>
      <x:c r="Q42" s="7" t="n">
        <x:f>IF(AND(M42="Confirmado",ISNUMBER(I42)),I42,0)</x:f>
        <x:v>0</x:v>
      </x:c>
    </x:row>
    <x:row r="43">
      <x:c r="A43" s="1"/>
      <x:c r="B43" s="5"/>
      <x:c r="C43" s="7" t="str">
        <x:f>IF(B43="","",YEAR(B43))</x:f>
      </x:c>
      <x:c r="D43" s="7" t="str">
        <x:f>IF(B43="","",INT((MONTH(B43)-1)/3)+1)</x:f>
      </x:c>
      <x:c r="E43" s="1"/>
      <x:c r="F43" s="1"/>
      <x:c r="G43" s="1"/>
      <x:c r="H43" s="1"/>
      <x:c r="I43" s="6"/>
      <x:c r="J43" s="6"/>
      <x:c r="K43" s="6"/>
      <x:c r="L43" s="8" t="str">
        <x:f>IF(I43="","",I43+J43-K43)</x:f>
      </x:c>
      <x:c r="M43" s="1"/>
      <x:c r="N43" s="1"/>
      <x:c r="O43" s="1"/>
      <x:c r="P43" s="1"/>
      <x:c r="Q43" s="7" t="n">
        <x:f>IF(AND(M43="Confirmado",ISNUMBER(I43)),I43,0)</x:f>
        <x:v>0</x:v>
      </x:c>
    </x:row>
    <x:row r="44">
      <x:c r="A44" s="1"/>
      <x:c r="B44" s="5"/>
      <x:c r="C44" s="7" t="str">
        <x:f>IF(B44="","",YEAR(B44))</x:f>
      </x:c>
      <x:c r="D44" s="7" t="str">
        <x:f>IF(B44="","",INT((MONTH(B44)-1)/3)+1)</x:f>
      </x:c>
      <x:c r="E44" s="1"/>
      <x:c r="F44" s="1"/>
      <x:c r="G44" s="1"/>
      <x:c r="H44" s="1"/>
      <x:c r="I44" s="6"/>
      <x:c r="J44" s="6"/>
      <x:c r="K44" s="6"/>
      <x:c r="L44" s="8" t="str">
        <x:f>IF(I44="","",I44+J44-K44)</x:f>
      </x:c>
      <x:c r="M44" s="1"/>
      <x:c r="N44" s="1"/>
      <x:c r="O44" s="1"/>
      <x:c r="P44" s="1"/>
      <x:c r="Q44" s="7" t="n">
        <x:f>IF(AND(M44="Confirmado",ISNUMBER(I44)),I44,0)</x:f>
        <x:v>0</x:v>
      </x:c>
    </x:row>
    <x:row r="45">
      <x:c r="A45" s="1"/>
      <x:c r="B45" s="5"/>
      <x:c r="C45" s="7" t="str">
        <x:f>IF(B45="","",YEAR(B45))</x:f>
      </x:c>
      <x:c r="D45" s="7" t="str">
        <x:f>IF(B45="","",INT((MONTH(B45)-1)/3)+1)</x:f>
      </x:c>
      <x:c r="E45" s="1"/>
      <x:c r="F45" s="1"/>
      <x:c r="G45" s="1"/>
      <x:c r="H45" s="1"/>
      <x:c r="I45" s="6"/>
      <x:c r="J45" s="6"/>
      <x:c r="K45" s="6"/>
      <x:c r="L45" s="8" t="str">
        <x:f>IF(I45="","",I45+J45-K45)</x:f>
      </x:c>
      <x:c r="M45" s="1"/>
      <x:c r="N45" s="1"/>
      <x:c r="O45" s="1"/>
      <x:c r="P45" s="1"/>
      <x:c r="Q45" s="7" t="n">
        <x:f>IF(AND(M45="Confirmado",ISNUMBER(I45)),I45,0)</x:f>
        <x:v>0</x:v>
      </x:c>
    </x:row>
    <x:row r="46">
      <x:c r="A46" s="1"/>
      <x:c r="B46" s="5"/>
      <x:c r="C46" s="7" t="str">
        <x:f>IF(B46="","",YEAR(B46))</x:f>
      </x:c>
      <x:c r="D46" s="7" t="str">
        <x:f>IF(B46="","",INT((MONTH(B46)-1)/3)+1)</x:f>
      </x:c>
      <x:c r="E46" s="1"/>
      <x:c r="F46" s="1"/>
      <x:c r="G46" s="1"/>
      <x:c r="H46" s="1"/>
      <x:c r="I46" s="6"/>
      <x:c r="J46" s="6"/>
      <x:c r="K46" s="6"/>
      <x:c r="L46" s="8" t="str">
        <x:f>IF(I46="","",I46+J46-K46)</x:f>
      </x:c>
      <x:c r="M46" s="1"/>
      <x:c r="N46" s="1"/>
      <x:c r="O46" s="1"/>
      <x:c r="P46" s="1"/>
      <x:c r="Q46" s="7" t="n">
        <x:f>IF(AND(M46="Confirmado",ISNUMBER(I46)),I46,0)</x:f>
        <x:v>0</x:v>
      </x:c>
    </x:row>
    <x:row r="47">
      <x:c r="A47" s="1"/>
      <x:c r="B47" s="5"/>
      <x:c r="C47" s="7" t="str">
        <x:f>IF(B47="","",YEAR(B47))</x:f>
      </x:c>
      <x:c r="D47" s="7" t="str">
        <x:f>IF(B47="","",INT((MONTH(B47)-1)/3)+1)</x:f>
      </x:c>
      <x:c r="E47" s="1"/>
      <x:c r="F47" s="1"/>
      <x:c r="G47" s="1"/>
      <x:c r="H47" s="1"/>
      <x:c r="I47" s="6"/>
      <x:c r="J47" s="6"/>
      <x:c r="K47" s="6"/>
      <x:c r="L47" s="8" t="str">
        <x:f>IF(I47="","",I47+J47-K47)</x:f>
      </x:c>
      <x:c r="M47" s="1"/>
      <x:c r="N47" s="1"/>
      <x:c r="O47" s="1"/>
      <x:c r="P47" s="1"/>
      <x:c r="Q47" s="7" t="n">
        <x:f>IF(AND(M47="Confirmado",ISNUMBER(I47)),I47,0)</x:f>
        <x:v>0</x:v>
      </x:c>
    </x:row>
    <x:row r="48">
      <x:c r="A48" s="1"/>
      <x:c r="B48" s="5"/>
      <x:c r="C48" s="7" t="str">
        <x:f>IF(B48="","",YEAR(B48))</x:f>
      </x:c>
      <x:c r="D48" s="7" t="str">
        <x:f>IF(B48="","",INT((MONTH(B48)-1)/3)+1)</x:f>
      </x:c>
      <x:c r="E48" s="1"/>
      <x:c r="F48" s="1"/>
      <x:c r="G48" s="1"/>
      <x:c r="H48" s="1"/>
      <x:c r="I48" s="6"/>
      <x:c r="J48" s="6"/>
      <x:c r="K48" s="6"/>
      <x:c r="L48" s="8" t="str">
        <x:f>IF(I48="","",I48+J48-K48)</x:f>
      </x:c>
      <x:c r="M48" s="1"/>
      <x:c r="N48" s="1"/>
      <x:c r="O48" s="1"/>
      <x:c r="P48" s="1"/>
      <x:c r="Q48" s="7" t="n">
        <x:f>IF(AND(M48="Confirmado",ISNUMBER(I48)),I48,0)</x:f>
        <x:v>0</x:v>
      </x:c>
    </x:row>
    <x:row r="49">
      <x:c r="A49" s="1"/>
      <x:c r="B49" s="5"/>
      <x:c r="C49" s="7" t="str">
        <x:f>IF(B49="","",YEAR(B49))</x:f>
      </x:c>
      <x:c r="D49" s="7" t="str">
        <x:f>IF(B49="","",INT((MONTH(B49)-1)/3)+1)</x:f>
      </x:c>
      <x:c r="E49" s="1"/>
      <x:c r="F49" s="1"/>
      <x:c r="G49" s="1"/>
      <x:c r="H49" s="1"/>
      <x:c r="I49" s="6"/>
      <x:c r="J49" s="6"/>
      <x:c r="K49" s="6"/>
      <x:c r="L49" s="8" t="str">
        <x:f>IF(I49="","",I49+J49-K49)</x:f>
      </x:c>
      <x:c r="M49" s="1"/>
      <x:c r="N49" s="1"/>
      <x:c r="O49" s="1"/>
      <x:c r="P49" s="1"/>
      <x:c r="Q49" s="7" t="n">
        <x:f>IF(AND(M49="Confirmado",ISNUMBER(I49)),I49,0)</x:f>
        <x:v>0</x:v>
      </x:c>
    </x:row>
    <x:row r="50">
      <x:c r="A50" s="1"/>
      <x:c r="B50" s="5"/>
      <x:c r="C50" s="7" t="str">
        <x:f>IF(B50="","",YEAR(B50))</x:f>
      </x:c>
      <x:c r="D50" s="7" t="str">
        <x:f>IF(B50="","",INT((MONTH(B50)-1)/3)+1)</x:f>
      </x:c>
      <x:c r="E50" s="1"/>
      <x:c r="F50" s="1"/>
      <x:c r="G50" s="1"/>
      <x:c r="H50" s="1"/>
      <x:c r="I50" s="6"/>
      <x:c r="J50" s="6"/>
      <x:c r="K50" s="6"/>
      <x:c r="L50" s="8" t="str">
        <x:f>IF(I50="","",I50+J50-K50)</x:f>
      </x:c>
      <x:c r="M50" s="1"/>
      <x:c r="N50" s="1"/>
      <x:c r="O50" s="1"/>
      <x:c r="P50" s="1"/>
      <x:c r="Q50" s="7" t="n">
        <x:f>IF(AND(M50="Confirmado",ISNUMBER(I50)),I50,0)</x:f>
        <x:v>0</x:v>
      </x:c>
    </x:row>
    <x:row r="51">
      <x:c r="A51" s="1"/>
      <x:c r="B51" s="5"/>
      <x:c r="C51" s="7" t="str">
        <x:f>IF(B51="","",YEAR(B51))</x:f>
      </x:c>
      <x:c r="D51" s="7" t="str">
        <x:f>IF(B51="","",INT((MONTH(B51)-1)/3)+1)</x:f>
      </x:c>
      <x:c r="E51" s="1"/>
      <x:c r="F51" s="1"/>
      <x:c r="G51" s="1"/>
      <x:c r="H51" s="1"/>
      <x:c r="I51" s="6"/>
      <x:c r="J51" s="6"/>
      <x:c r="K51" s="6"/>
      <x:c r="L51" s="8" t="str">
        <x:f>IF(I51="","",I51+J51-K51)</x:f>
      </x:c>
      <x:c r="M51" s="1"/>
      <x:c r="N51" s="1"/>
      <x:c r="O51" s="1"/>
      <x:c r="P51" s="1"/>
      <x:c r="Q51" s="7" t="n">
        <x:f>IF(AND(M51="Confirmado",ISNUMBER(I51)),I51,0)</x:f>
        <x:v>0</x:v>
      </x:c>
    </x:row>
    <x:row r="52">
      <x:c r="A52" s="1"/>
      <x:c r="B52" s="5"/>
      <x:c r="C52" s="7" t="str">
        <x:f>IF(B52="","",YEAR(B52))</x:f>
      </x:c>
      <x:c r="D52" s="7" t="str">
        <x:f>IF(B52="","",INT((MONTH(B52)-1)/3)+1)</x:f>
      </x:c>
      <x:c r="E52" s="1"/>
      <x:c r="F52" s="1"/>
      <x:c r="G52" s="1"/>
      <x:c r="H52" s="1"/>
      <x:c r="I52" s="6"/>
      <x:c r="J52" s="6"/>
      <x:c r="K52" s="6"/>
      <x:c r="L52" s="8" t="str">
        <x:f>IF(I52="","",I52+J52-K52)</x:f>
      </x:c>
      <x:c r="M52" s="1"/>
      <x:c r="N52" s="1"/>
      <x:c r="O52" s="1"/>
      <x:c r="P52" s="1"/>
      <x:c r="Q52" s="7" t="n">
        <x:f>IF(AND(M52="Confirmado",ISNUMBER(I52)),I52,0)</x:f>
        <x:v>0</x:v>
      </x:c>
    </x:row>
    <x:row r="53">
      <x:c r="A53" s="1"/>
      <x:c r="B53" s="5"/>
      <x:c r="C53" s="7" t="str">
        <x:f>IF(B53="","",YEAR(B53))</x:f>
      </x:c>
      <x:c r="D53" s="7" t="str">
        <x:f>IF(B53="","",INT((MONTH(B53)-1)/3)+1)</x:f>
      </x:c>
      <x:c r="E53" s="1"/>
      <x:c r="F53" s="1"/>
      <x:c r="G53" s="1"/>
      <x:c r="H53" s="1"/>
      <x:c r="I53" s="6"/>
      <x:c r="J53" s="6"/>
      <x:c r="K53" s="6"/>
      <x:c r="L53" s="8" t="str">
        <x:f>IF(I53="","",I53+J53-K53)</x:f>
      </x:c>
      <x:c r="M53" s="1"/>
      <x:c r="N53" s="1"/>
      <x:c r="O53" s="1"/>
      <x:c r="P53" s="1"/>
      <x:c r="Q53" s="7" t="n">
        <x:f>IF(AND(M53="Confirmado",ISNUMBER(I53)),I53,0)</x:f>
        <x:v>0</x:v>
      </x:c>
    </x:row>
    <x:row r="54">
      <x:c r="A54" s="1"/>
      <x:c r="B54" s="5"/>
      <x:c r="C54" s="7" t="str">
        <x:f>IF(B54="","",YEAR(B54))</x:f>
      </x:c>
      <x:c r="D54" s="7" t="str">
        <x:f>IF(B54="","",INT((MONTH(B54)-1)/3)+1)</x:f>
      </x:c>
      <x:c r="E54" s="1"/>
      <x:c r="F54" s="1"/>
      <x:c r="G54" s="1"/>
      <x:c r="H54" s="1"/>
      <x:c r="I54" s="6"/>
      <x:c r="J54" s="6"/>
      <x:c r="K54" s="6"/>
      <x:c r="L54" s="8" t="str">
        <x:f>IF(I54="","",I54+J54-K54)</x:f>
      </x:c>
      <x:c r="M54" s="1"/>
      <x:c r="N54" s="1"/>
      <x:c r="O54" s="1"/>
      <x:c r="P54" s="1"/>
      <x:c r="Q54" s="7" t="n">
        <x:f>IF(AND(M54="Confirmado",ISNUMBER(I54)),I54,0)</x:f>
        <x:v>0</x:v>
      </x:c>
    </x:row>
    <x:row r="55">
      <x:c r="A55" s="1"/>
      <x:c r="B55" s="5"/>
      <x:c r="C55" s="7" t="str">
        <x:f>IF(B55="","",YEAR(B55))</x:f>
      </x:c>
      <x:c r="D55" s="7" t="str">
        <x:f>IF(B55="","",INT((MONTH(B55)-1)/3)+1)</x:f>
      </x:c>
      <x:c r="E55" s="1"/>
      <x:c r="F55" s="1"/>
      <x:c r="G55" s="1"/>
      <x:c r="H55" s="1"/>
      <x:c r="I55" s="6"/>
      <x:c r="J55" s="6"/>
      <x:c r="K55" s="6"/>
      <x:c r="L55" s="8" t="str">
        <x:f>IF(I55="","",I55+J55-K55)</x:f>
      </x:c>
      <x:c r="M55" s="1"/>
      <x:c r="N55" s="1"/>
      <x:c r="O55" s="1"/>
      <x:c r="P55" s="1"/>
      <x:c r="Q55" s="7" t="n">
        <x:f>IF(AND(M55="Confirmado",ISNUMBER(I55)),I55,0)</x:f>
        <x:v>0</x:v>
      </x:c>
    </x:row>
    <x:row r="56">
      <x:c r="A56" s="1"/>
      <x:c r="B56" s="5"/>
      <x:c r="C56" s="7" t="str">
        <x:f>IF(B56="","",YEAR(B56))</x:f>
      </x:c>
      <x:c r="D56" s="7" t="str">
        <x:f>IF(B56="","",INT((MONTH(B56)-1)/3)+1)</x:f>
      </x:c>
      <x:c r="E56" s="1"/>
      <x:c r="F56" s="1"/>
      <x:c r="G56" s="1"/>
      <x:c r="H56" s="1"/>
      <x:c r="I56" s="6"/>
      <x:c r="J56" s="6"/>
      <x:c r="K56" s="6"/>
      <x:c r="L56" s="8" t="str">
        <x:f>IF(I56="","",I56+J56-K56)</x:f>
      </x:c>
      <x:c r="M56" s="1"/>
      <x:c r="N56" s="1"/>
      <x:c r="O56" s="1"/>
      <x:c r="P56" s="1"/>
      <x:c r="Q56" s="7" t="n">
        <x:f>IF(AND(M56="Confirmado",ISNUMBER(I56)),I56,0)</x:f>
        <x:v>0</x:v>
      </x:c>
    </x:row>
    <x:row r="57">
      <x:c r="A57" s="1"/>
      <x:c r="B57" s="5"/>
      <x:c r="C57" s="7" t="str">
        <x:f>IF(B57="","",YEAR(B57))</x:f>
      </x:c>
      <x:c r="D57" s="7" t="str">
        <x:f>IF(B57="","",INT((MONTH(B57)-1)/3)+1)</x:f>
      </x:c>
      <x:c r="E57" s="1"/>
      <x:c r="F57" s="1"/>
      <x:c r="G57" s="1"/>
      <x:c r="H57" s="1"/>
      <x:c r="I57" s="6"/>
      <x:c r="J57" s="6"/>
      <x:c r="K57" s="6"/>
      <x:c r="L57" s="8" t="str">
        <x:f>IF(I57="","",I57+J57-K57)</x:f>
      </x:c>
      <x:c r="M57" s="1"/>
      <x:c r="N57" s="1"/>
      <x:c r="O57" s="1"/>
      <x:c r="P57" s="1"/>
      <x:c r="Q57" s="7" t="n">
        <x:f>IF(AND(M57="Confirmado",ISNUMBER(I57)),I57,0)</x:f>
        <x:v>0</x:v>
      </x:c>
    </x:row>
    <x:row r="58">
      <x:c r="A58" s="1"/>
      <x:c r="B58" s="5"/>
      <x:c r="C58" s="7" t="str">
        <x:f>IF(B58="","",YEAR(B58))</x:f>
      </x:c>
      <x:c r="D58" s="7" t="str">
        <x:f>IF(B58="","",INT((MONTH(B58)-1)/3)+1)</x:f>
      </x:c>
      <x:c r="E58" s="1"/>
      <x:c r="F58" s="1"/>
      <x:c r="G58" s="1"/>
      <x:c r="H58" s="1"/>
      <x:c r="I58" s="6"/>
      <x:c r="J58" s="6"/>
      <x:c r="K58" s="6"/>
      <x:c r="L58" s="8" t="str">
        <x:f>IF(I58="","",I58+J58-K58)</x:f>
      </x:c>
      <x:c r="M58" s="1"/>
      <x:c r="N58" s="1"/>
      <x:c r="O58" s="1"/>
      <x:c r="P58" s="1"/>
      <x:c r="Q58" s="7" t="n">
        <x:f>IF(AND(M58="Confirmado",ISNUMBER(I58)),I58,0)</x:f>
        <x:v>0</x:v>
      </x:c>
    </x:row>
    <x:row r="59">
      <x:c r="A59" s="1"/>
      <x:c r="B59" s="5"/>
      <x:c r="C59" s="7" t="str">
        <x:f>IF(B59="","",YEAR(B59))</x:f>
      </x:c>
      <x:c r="D59" s="7" t="str">
        <x:f>IF(B59="","",INT((MONTH(B59)-1)/3)+1)</x:f>
      </x:c>
      <x:c r="E59" s="1"/>
      <x:c r="F59" s="1"/>
      <x:c r="G59" s="1"/>
      <x:c r="H59" s="1"/>
      <x:c r="I59" s="6"/>
      <x:c r="J59" s="6"/>
      <x:c r="K59" s="6"/>
      <x:c r="L59" s="8" t="str">
        <x:f>IF(I59="","",I59+J59-K59)</x:f>
      </x:c>
      <x:c r="M59" s="1"/>
      <x:c r="N59" s="1"/>
      <x:c r="O59" s="1"/>
      <x:c r="P59" s="1"/>
      <x:c r="Q59" s="7" t="n">
        <x:f>IF(AND(M59="Confirmado",ISNUMBER(I59)),I59,0)</x:f>
        <x:v>0</x:v>
      </x:c>
    </x:row>
    <x:row r="60">
      <x:c r="A60" s="1"/>
      <x:c r="B60" s="5"/>
      <x:c r="C60" s="7" t="str">
        <x:f>IF(B60="","",YEAR(B60))</x:f>
      </x:c>
      <x:c r="D60" s="7" t="str">
        <x:f>IF(B60="","",INT((MONTH(B60)-1)/3)+1)</x:f>
      </x:c>
      <x:c r="E60" s="1"/>
      <x:c r="F60" s="1"/>
      <x:c r="G60" s="1"/>
      <x:c r="H60" s="1"/>
      <x:c r="I60" s="6"/>
      <x:c r="J60" s="6"/>
      <x:c r="K60" s="6"/>
      <x:c r="L60" s="8" t="str">
        <x:f>IF(I60="","",I60+J60-K60)</x:f>
      </x:c>
      <x:c r="M60" s="1"/>
      <x:c r="N60" s="1"/>
      <x:c r="O60" s="1"/>
      <x:c r="P60" s="1"/>
      <x:c r="Q60" s="7" t="n">
        <x:f>IF(AND(M60="Confirmado",ISNUMBER(I60)),I60,0)</x:f>
        <x:v>0</x:v>
      </x:c>
    </x:row>
    <x:row r="61">
      <x:c r="A61" s="1"/>
      <x:c r="B61" s="5"/>
      <x:c r="C61" s="7" t="str">
        <x:f>IF(B61="","",YEAR(B61))</x:f>
      </x:c>
      <x:c r="D61" s="7" t="str">
        <x:f>IF(B61="","",INT((MONTH(B61)-1)/3)+1)</x:f>
      </x:c>
      <x:c r="E61" s="1"/>
      <x:c r="F61" s="1"/>
      <x:c r="G61" s="1"/>
      <x:c r="H61" s="1"/>
      <x:c r="I61" s="6"/>
      <x:c r="J61" s="6"/>
      <x:c r="K61" s="6"/>
      <x:c r="L61" s="8" t="str">
        <x:f>IF(I61="","",I61+J61-K61)</x:f>
      </x:c>
      <x:c r="M61" s="1"/>
      <x:c r="N61" s="1"/>
      <x:c r="O61" s="1"/>
      <x:c r="P61" s="1"/>
      <x:c r="Q61" s="7" t="n">
        <x:f>IF(AND(M61="Confirmado",ISNUMBER(I61)),I61,0)</x:f>
        <x:v>0</x:v>
      </x:c>
    </x:row>
    <x:row r="62">
      <x:c r="A62" s="1"/>
      <x:c r="B62" s="5"/>
      <x:c r="C62" s="7" t="str">
        <x:f>IF(B62="","",YEAR(B62))</x:f>
      </x:c>
      <x:c r="D62" s="7" t="str">
        <x:f>IF(B62="","",INT((MONTH(B62)-1)/3)+1)</x:f>
      </x:c>
      <x:c r="E62" s="1"/>
      <x:c r="F62" s="1"/>
      <x:c r="G62" s="1"/>
      <x:c r="H62" s="1"/>
      <x:c r="I62" s="6"/>
      <x:c r="J62" s="6"/>
      <x:c r="K62" s="6"/>
      <x:c r="L62" s="8" t="str">
        <x:f>IF(I62="","",I62+J62-K62)</x:f>
      </x:c>
      <x:c r="M62" s="1"/>
      <x:c r="N62" s="1"/>
      <x:c r="O62" s="1"/>
      <x:c r="P62" s="1"/>
      <x:c r="Q62" s="7" t="n">
        <x:f>IF(AND(M62="Confirmado",ISNUMBER(I62)),I62,0)</x:f>
        <x:v>0</x:v>
      </x:c>
    </x:row>
    <x:row r="63">
      <x:c r="A63" s="1"/>
      <x:c r="B63" s="5"/>
      <x:c r="C63" s="7" t="str">
        <x:f>IF(B63="","",YEAR(B63))</x:f>
      </x:c>
      <x:c r="D63" s="7" t="str">
        <x:f>IF(B63="","",INT((MONTH(B63)-1)/3)+1)</x:f>
      </x:c>
      <x:c r="E63" s="1"/>
      <x:c r="F63" s="1"/>
      <x:c r="G63" s="1"/>
      <x:c r="H63" s="1"/>
      <x:c r="I63" s="6"/>
      <x:c r="J63" s="6"/>
      <x:c r="K63" s="6"/>
      <x:c r="L63" s="8" t="str">
        <x:f>IF(I63="","",I63+J63-K63)</x:f>
      </x:c>
      <x:c r="M63" s="1"/>
      <x:c r="N63" s="1"/>
      <x:c r="O63" s="1"/>
      <x:c r="P63" s="1"/>
      <x:c r="Q63" s="7" t="n">
        <x:f>IF(AND(M63="Confirmado",ISNUMBER(I63)),I63,0)</x:f>
        <x:v>0</x:v>
      </x:c>
    </x:row>
    <x:row r="64">
      <x:c r="A64" s="1"/>
      <x:c r="B64" s="5"/>
      <x:c r="C64" s="7" t="str">
        <x:f>IF(B64="","",YEAR(B64))</x:f>
      </x:c>
      <x:c r="D64" s="7" t="str">
        <x:f>IF(B64="","",INT((MONTH(B64)-1)/3)+1)</x:f>
      </x:c>
      <x:c r="E64" s="1"/>
      <x:c r="F64" s="1"/>
      <x:c r="G64" s="1"/>
      <x:c r="H64" s="1"/>
      <x:c r="I64" s="6"/>
      <x:c r="J64" s="6"/>
      <x:c r="K64" s="6"/>
      <x:c r="L64" s="8" t="str">
        <x:f>IF(I64="","",I64+J64-K64)</x:f>
      </x:c>
      <x:c r="M64" s="1"/>
      <x:c r="N64" s="1"/>
      <x:c r="O64" s="1"/>
      <x:c r="P64" s="1"/>
      <x:c r="Q64" s="7" t="n">
        <x:f>IF(AND(M64="Confirmado",ISNUMBER(I64)),I64,0)</x:f>
        <x:v>0</x:v>
      </x:c>
    </x:row>
    <x:row r="65">
      <x:c r="A65" s="1"/>
      <x:c r="B65" s="5"/>
      <x:c r="C65" s="7" t="str">
        <x:f>IF(B65="","",YEAR(B65))</x:f>
      </x:c>
      <x:c r="D65" s="7" t="str">
        <x:f>IF(B65="","",INT((MONTH(B65)-1)/3)+1)</x:f>
      </x:c>
      <x:c r="E65" s="1"/>
      <x:c r="F65" s="1"/>
      <x:c r="G65" s="1"/>
      <x:c r="H65" s="1"/>
      <x:c r="I65" s="6"/>
      <x:c r="J65" s="6"/>
      <x:c r="K65" s="6"/>
      <x:c r="L65" s="8" t="str">
        <x:f>IF(I65="","",I65+J65-K65)</x:f>
      </x:c>
      <x:c r="M65" s="1"/>
      <x:c r="N65" s="1"/>
      <x:c r="O65" s="1"/>
      <x:c r="P65" s="1"/>
      <x:c r="Q65" s="7" t="n">
        <x:f>IF(AND(M65="Confirmado",ISNUMBER(I65)),I65,0)</x:f>
        <x:v>0</x:v>
      </x:c>
    </x:row>
    <x:row r="66">
      <x:c r="A66" s="1"/>
      <x:c r="B66" s="5"/>
      <x:c r="C66" s="7" t="str">
        <x:f>IF(B66="","",YEAR(B66))</x:f>
      </x:c>
      <x:c r="D66" s="7" t="str">
        <x:f>IF(B66="","",INT((MONTH(B66)-1)/3)+1)</x:f>
      </x:c>
      <x:c r="E66" s="1"/>
      <x:c r="F66" s="1"/>
      <x:c r="G66" s="1"/>
      <x:c r="H66" s="1"/>
      <x:c r="I66" s="6"/>
      <x:c r="J66" s="6"/>
      <x:c r="K66" s="6"/>
      <x:c r="L66" s="8" t="str">
        <x:f>IF(I66="","",I66+J66-K66)</x:f>
      </x:c>
      <x:c r="M66" s="1"/>
      <x:c r="N66" s="1"/>
      <x:c r="O66" s="1"/>
      <x:c r="P66" s="1"/>
      <x:c r="Q66" s="7" t="n">
        <x:f>IF(AND(M66="Confirmado",ISNUMBER(I66)),I66,0)</x:f>
        <x:v>0</x:v>
      </x:c>
    </x:row>
    <x:row r="67">
      <x:c r="A67" s="1"/>
      <x:c r="B67" s="5"/>
      <x:c r="C67" s="7" t="str">
        <x:f>IF(B67="","",YEAR(B67))</x:f>
      </x:c>
      <x:c r="D67" s="7" t="str">
        <x:f>IF(B67="","",INT((MONTH(B67)-1)/3)+1)</x:f>
      </x:c>
      <x:c r="E67" s="1"/>
      <x:c r="F67" s="1"/>
      <x:c r="G67" s="1"/>
      <x:c r="H67" s="1"/>
      <x:c r="I67" s="6"/>
      <x:c r="J67" s="6"/>
      <x:c r="K67" s="6"/>
      <x:c r="L67" s="8" t="str">
        <x:f>IF(I67="","",I67+J67-K67)</x:f>
      </x:c>
      <x:c r="M67" s="1"/>
      <x:c r="N67" s="1"/>
      <x:c r="O67" s="1"/>
      <x:c r="P67" s="1"/>
      <x:c r="Q67" s="7" t="n">
        <x:f>IF(AND(M67="Confirmado",ISNUMBER(I67)),I67,0)</x:f>
        <x:v>0</x:v>
      </x:c>
    </x:row>
    <x:row r="68">
      <x:c r="A68" s="1"/>
      <x:c r="B68" s="5"/>
      <x:c r="C68" s="7" t="str">
        <x:f>IF(B68="","",YEAR(B68))</x:f>
      </x:c>
      <x:c r="D68" s="7" t="str">
        <x:f>IF(B68="","",INT((MONTH(B68)-1)/3)+1)</x:f>
      </x:c>
      <x:c r="E68" s="1"/>
      <x:c r="F68" s="1"/>
      <x:c r="G68" s="1"/>
      <x:c r="H68" s="1"/>
      <x:c r="I68" s="6"/>
      <x:c r="J68" s="6"/>
      <x:c r="K68" s="6"/>
      <x:c r="L68" s="8" t="str">
        <x:f>IF(I68="","",I68+J68-K68)</x:f>
      </x:c>
      <x:c r="M68" s="1"/>
      <x:c r="N68" s="1"/>
      <x:c r="O68" s="1"/>
      <x:c r="P68" s="1"/>
      <x:c r="Q68" s="7" t="n">
        <x:f>IF(AND(M68="Confirmado",ISNUMBER(I68)),I68,0)</x:f>
        <x:v>0</x:v>
      </x:c>
    </x:row>
    <x:row r="69">
      <x:c r="A69" s="1"/>
      <x:c r="B69" s="5"/>
      <x:c r="C69" s="7" t="str">
        <x:f>IF(B69="","",YEAR(B69))</x:f>
      </x:c>
      <x:c r="D69" s="7" t="str">
        <x:f>IF(B69="","",INT((MONTH(B69)-1)/3)+1)</x:f>
      </x:c>
      <x:c r="E69" s="1"/>
      <x:c r="F69" s="1"/>
      <x:c r="G69" s="1"/>
      <x:c r="H69" s="1"/>
      <x:c r="I69" s="6"/>
      <x:c r="J69" s="6"/>
      <x:c r="K69" s="6"/>
      <x:c r="L69" s="8" t="str">
        <x:f>IF(I69="","",I69+J69-K69)</x:f>
      </x:c>
      <x:c r="M69" s="1"/>
      <x:c r="N69" s="1"/>
      <x:c r="O69" s="1"/>
      <x:c r="P69" s="1"/>
      <x:c r="Q69" s="7" t="n">
        <x:f>IF(AND(M69="Confirmado",ISNUMBER(I69)),I69,0)</x:f>
        <x:v>0</x:v>
      </x:c>
    </x:row>
    <x:row r="70">
      <x:c r="A70" s="1"/>
      <x:c r="B70" s="5"/>
      <x:c r="C70" s="7" t="str">
        <x:f>IF(B70="","",YEAR(B70))</x:f>
      </x:c>
      <x:c r="D70" s="7" t="str">
        <x:f>IF(B70="","",INT((MONTH(B70)-1)/3)+1)</x:f>
      </x:c>
      <x:c r="E70" s="1"/>
      <x:c r="F70" s="1"/>
      <x:c r="G70" s="1"/>
      <x:c r="H70" s="1"/>
      <x:c r="I70" s="6"/>
      <x:c r="J70" s="6"/>
      <x:c r="K70" s="6"/>
      <x:c r="L70" s="8" t="str">
        <x:f>IF(I70="","",I70+J70-K70)</x:f>
      </x:c>
      <x:c r="M70" s="1"/>
      <x:c r="N70" s="1"/>
      <x:c r="O70" s="1"/>
      <x:c r="P70" s="1"/>
      <x:c r="Q70" s="7" t="n">
        <x:f>IF(AND(M70="Confirmado",ISNUMBER(I70)),I70,0)</x:f>
        <x:v>0</x:v>
      </x:c>
    </x:row>
    <x:row r="71">
      <x:c r="A71" s="1"/>
      <x:c r="B71" s="5"/>
      <x:c r="C71" s="7" t="str">
        <x:f>IF(B71="","",YEAR(B71))</x:f>
      </x:c>
      <x:c r="D71" s="7" t="str">
        <x:f>IF(B71="","",INT((MONTH(B71)-1)/3)+1)</x:f>
      </x:c>
      <x:c r="E71" s="1"/>
      <x:c r="F71" s="1"/>
      <x:c r="G71" s="1"/>
      <x:c r="H71" s="1"/>
      <x:c r="I71" s="6"/>
      <x:c r="J71" s="6"/>
      <x:c r="K71" s="6"/>
      <x:c r="L71" s="8" t="str">
        <x:f>IF(I71="","",I71+J71-K71)</x:f>
      </x:c>
      <x:c r="M71" s="1"/>
      <x:c r="N71" s="1"/>
      <x:c r="O71" s="1"/>
      <x:c r="P71" s="1"/>
      <x:c r="Q71" s="7" t="n">
        <x:f>IF(AND(M71="Confirmado",ISNUMBER(I71)),I71,0)</x:f>
        <x:v>0</x:v>
      </x:c>
    </x:row>
    <x:row r="72">
      <x:c r="A72" s="1"/>
      <x:c r="B72" s="5"/>
      <x:c r="C72" s="7" t="str">
        <x:f>IF(B72="","",YEAR(B72))</x:f>
      </x:c>
      <x:c r="D72" s="7" t="str">
        <x:f>IF(B72="","",INT((MONTH(B72)-1)/3)+1)</x:f>
      </x:c>
      <x:c r="E72" s="1"/>
      <x:c r="F72" s="1"/>
      <x:c r="G72" s="1"/>
      <x:c r="H72" s="1"/>
      <x:c r="I72" s="6"/>
      <x:c r="J72" s="6"/>
      <x:c r="K72" s="6"/>
      <x:c r="L72" s="8" t="str">
        <x:f>IF(I72="","",I72+J72-K72)</x:f>
      </x:c>
      <x:c r="M72" s="1"/>
      <x:c r="N72" s="1"/>
      <x:c r="O72" s="1"/>
      <x:c r="P72" s="1"/>
      <x:c r="Q72" s="7" t="n">
        <x:f>IF(AND(M72="Confirmado",ISNUMBER(I72)),I72,0)</x:f>
        <x:v>0</x:v>
      </x:c>
    </x:row>
    <x:row r="73">
      <x:c r="A73" s="1"/>
      <x:c r="B73" s="5"/>
      <x:c r="C73" s="7" t="str">
        <x:f>IF(B73="","",YEAR(B73))</x:f>
      </x:c>
      <x:c r="D73" s="7" t="str">
        <x:f>IF(B73="","",INT((MONTH(B73)-1)/3)+1)</x:f>
      </x:c>
      <x:c r="E73" s="1"/>
      <x:c r="F73" s="1"/>
      <x:c r="G73" s="1"/>
      <x:c r="H73" s="1"/>
      <x:c r="I73" s="6"/>
      <x:c r="J73" s="6"/>
      <x:c r="K73" s="6"/>
      <x:c r="L73" s="8" t="str">
        <x:f>IF(I73="","",I73+J73-K73)</x:f>
      </x:c>
      <x:c r="M73" s="1"/>
      <x:c r="N73" s="1"/>
      <x:c r="O73" s="1"/>
      <x:c r="P73" s="1"/>
      <x:c r="Q73" s="7" t="n">
        <x:f>IF(AND(M73="Confirmado",ISNUMBER(I73)),I73,0)</x:f>
        <x:v>0</x:v>
      </x:c>
    </x:row>
    <x:row r="74">
      <x:c r="A74" s="1"/>
      <x:c r="B74" s="5"/>
      <x:c r="C74" s="7" t="str">
        <x:f>IF(B74="","",YEAR(B74))</x:f>
      </x:c>
      <x:c r="D74" s="7" t="str">
        <x:f>IF(B74="","",INT((MONTH(B74)-1)/3)+1)</x:f>
      </x:c>
      <x:c r="E74" s="1"/>
      <x:c r="F74" s="1"/>
      <x:c r="G74" s="1"/>
      <x:c r="H74" s="1"/>
      <x:c r="I74" s="6"/>
      <x:c r="J74" s="6"/>
      <x:c r="K74" s="6"/>
      <x:c r="L74" s="8" t="str">
        <x:f>IF(I74="","",I74+J74-K74)</x:f>
      </x:c>
      <x:c r="M74" s="1"/>
      <x:c r="N74" s="1"/>
      <x:c r="O74" s="1"/>
      <x:c r="P74" s="1"/>
      <x:c r="Q74" s="7" t="n">
        <x:f>IF(AND(M74="Confirmado",ISNUMBER(I74)),I74,0)</x:f>
        <x:v>0</x:v>
      </x:c>
    </x:row>
    <x:row r="75">
      <x:c r="A75" s="1"/>
      <x:c r="B75" s="5"/>
      <x:c r="C75" s="7" t="str">
        <x:f>IF(B75="","",YEAR(B75))</x:f>
      </x:c>
      <x:c r="D75" s="7" t="str">
        <x:f>IF(B75="","",INT((MONTH(B75)-1)/3)+1)</x:f>
      </x:c>
      <x:c r="E75" s="1"/>
      <x:c r="F75" s="1"/>
      <x:c r="G75" s="1"/>
      <x:c r="H75" s="1"/>
      <x:c r="I75" s="6"/>
      <x:c r="J75" s="6"/>
      <x:c r="K75" s="6"/>
      <x:c r="L75" s="8" t="str">
        <x:f>IF(I75="","",I75+J75-K75)</x:f>
      </x:c>
      <x:c r="M75" s="1"/>
      <x:c r="N75" s="1"/>
      <x:c r="O75" s="1"/>
      <x:c r="P75" s="1"/>
      <x:c r="Q75" s="7" t="n">
        <x:f>IF(AND(M75="Confirmado",ISNUMBER(I75)),I75,0)</x:f>
        <x:v>0</x:v>
      </x:c>
    </x:row>
    <x:row r="76">
      <x:c r="A76" s="1"/>
      <x:c r="B76" s="5"/>
      <x:c r="C76" s="7" t="str">
        <x:f>IF(B76="","",YEAR(B76))</x:f>
      </x:c>
      <x:c r="D76" s="7" t="str">
        <x:f>IF(B76="","",INT((MONTH(B76)-1)/3)+1)</x:f>
      </x:c>
      <x:c r="E76" s="1"/>
      <x:c r="F76" s="1"/>
      <x:c r="G76" s="1"/>
      <x:c r="H76" s="1"/>
      <x:c r="I76" s="6"/>
      <x:c r="J76" s="6"/>
      <x:c r="K76" s="6"/>
      <x:c r="L76" s="8" t="str">
        <x:f>IF(I76="","",I76+J76-K76)</x:f>
      </x:c>
      <x:c r="M76" s="1"/>
      <x:c r="N76" s="1"/>
      <x:c r="O76" s="1"/>
      <x:c r="P76" s="1"/>
      <x:c r="Q76" s="7" t="n">
        <x:f>IF(AND(M76="Confirmado",ISNUMBER(I76)),I76,0)</x:f>
        <x:v>0</x:v>
      </x:c>
    </x:row>
    <x:row r="77">
      <x:c r="A77" s="1"/>
      <x:c r="B77" s="5"/>
      <x:c r="C77" s="7" t="str">
        <x:f>IF(B77="","",YEAR(B77))</x:f>
      </x:c>
      <x:c r="D77" s="7" t="str">
        <x:f>IF(B77="","",INT((MONTH(B77)-1)/3)+1)</x:f>
      </x:c>
      <x:c r="E77" s="1"/>
      <x:c r="F77" s="1"/>
      <x:c r="G77" s="1"/>
      <x:c r="H77" s="1"/>
      <x:c r="I77" s="6"/>
      <x:c r="J77" s="6"/>
      <x:c r="K77" s="6"/>
      <x:c r="L77" s="8" t="str">
        <x:f>IF(I77="","",I77+J77-K77)</x:f>
      </x:c>
      <x:c r="M77" s="1"/>
      <x:c r="N77" s="1"/>
      <x:c r="O77" s="1"/>
      <x:c r="P77" s="1"/>
      <x:c r="Q77" s="7" t="n">
        <x:f>IF(AND(M77="Confirmado",ISNUMBER(I77)),I77,0)</x:f>
        <x:v>0</x:v>
      </x:c>
    </x:row>
    <x:row r="78">
      <x:c r="A78" s="1"/>
      <x:c r="B78" s="5"/>
      <x:c r="C78" s="7" t="str">
        <x:f>IF(B78="","",YEAR(B78))</x:f>
      </x:c>
      <x:c r="D78" s="7" t="str">
        <x:f>IF(B78="","",INT((MONTH(B78)-1)/3)+1)</x:f>
      </x:c>
      <x:c r="E78" s="1"/>
      <x:c r="F78" s="1"/>
      <x:c r="G78" s="1"/>
      <x:c r="H78" s="1"/>
      <x:c r="I78" s="6"/>
      <x:c r="J78" s="6"/>
      <x:c r="K78" s="6"/>
      <x:c r="L78" s="8" t="str">
        <x:f>IF(I78="","",I78+J78-K78)</x:f>
      </x:c>
      <x:c r="M78" s="1"/>
      <x:c r="N78" s="1"/>
      <x:c r="O78" s="1"/>
      <x:c r="P78" s="1"/>
      <x:c r="Q78" s="7" t="n">
        <x:f>IF(AND(M78="Confirmado",ISNUMBER(I78)),I78,0)</x:f>
        <x:v>0</x:v>
      </x:c>
    </x:row>
    <x:row r="79">
      <x:c r="A79" s="1"/>
      <x:c r="B79" s="5"/>
      <x:c r="C79" s="7" t="str">
        <x:f>IF(B79="","",YEAR(B79))</x:f>
      </x:c>
      <x:c r="D79" s="7" t="str">
        <x:f>IF(B79="","",INT((MONTH(B79)-1)/3)+1)</x:f>
      </x:c>
      <x:c r="E79" s="1"/>
      <x:c r="F79" s="1"/>
      <x:c r="G79" s="1"/>
      <x:c r="H79" s="1"/>
      <x:c r="I79" s="6"/>
      <x:c r="J79" s="6"/>
      <x:c r="K79" s="6"/>
      <x:c r="L79" s="8" t="str">
        <x:f>IF(I79="","",I79+J79-K79)</x:f>
      </x:c>
      <x:c r="M79" s="1"/>
      <x:c r="N79" s="1"/>
      <x:c r="O79" s="1"/>
      <x:c r="P79" s="1"/>
      <x:c r="Q79" s="7" t="n">
        <x:f>IF(AND(M79="Confirmado",ISNUMBER(I79)),I79,0)</x:f>
        <x:v>0</x:v>
      </x:c>
    </x:row>
    <x:row r="80">
      <x:c r="A80" s="1"/>
      <x:c r="B80" s="5"/>
      <x:c r="C80" s="7" t="str">
        <x:f>IF(B80="","",YEAR(B80))</x:f>
      </x:c>
      <x:c r="D80" s="7" t="str">
        <x:f>IF(B80="","",INT((MONTH(B80)-1)/3)+1)</x:f>
      </x:c>
      <x:c r="E80" s="1"/>
      <x:c r="F80" s="1"/>
      <x:c r="G80" s="1"/>
      <x:c r="H80" s="1"/>
      <x:c r="I80" s="6"/>
      <x:c r="J80" s="6"/>
      <x:c r="K80" s="6"/>
      <x:c r="L80" s="8" t="str">
        <x:f>IF(I80="","",I80+J80-K80)</x:f>
      </x:c>
      <x:c r="M80" s="1"/>
      <x:c r="N80" s="1"/>
      <x:c r="O80" s="1"/>
      <x:c r="P80" s="1"/>
      <x:c r="Q80" s="7" t="n">
        <x:f>IF(AND(M80="Confirmado",ISNUMBER(I80)),I80,0)</x:f>
        <x:v>0</x:v>
      </x:c>
    </x:row>
    <x:row r="81">
      <x:c r="A81" s="1"/>
      <x:c r="B81" s="5"/>
      <x:c r="C81" s="7" t="str">
        <x:f>IF(B81="","",YEAR(B81))</x:f>
      </x:c>
      <x:c r="D81" s="7" t="str">
        <x:f>IF(B81="","",INT((MONTH(B81)-1)/3)+1)</x:f>
      </x:c>
      <x:c r="E81" s="1"/>
      <x:c r="F81" s="1"/>
      <x:c r="G81" s="1"/>
      <x:c r="H81" s="1"/>
      <x:c r="I81" s="6"/>
      <x:c r="J81" s="6"/>
      <x:c r="K81" s="6"/>
      <x:c r="L81" s="8" t="str">
        <x:f>IF(I81="","",I81+J81-K81)</x:f>
      </x:c>
      <x:c r="M81" s="1"/>
      <x:c r="N81" s="1"/>
      <x:c r="O81" s="1"/>
      <x:c r="P81" s="1"/>
      <x:c r="Q81" s="7" t="n">
        <x:f>IF(AND(M81="Confirmado",ISNUMBER(I81)),I81,0)</x:f>
        <x:v>0</x:v>
      </x:c>
    </x:row>
    <x:row r="82">
      <x:c r="A82" s="1"/>
      <x:c r="B82" s="5"/>
      <x:c r="C82" s="7" t="str">
        <x:f>IF(B82="","",YEAR(B82))</x:f>
      </x:c>
      <x:c r="D82" s="7" t="str">
        <x:f>IF(B82="","",INT((MONTH(B82)-1)/3)+1)</x:f>
      </x:c>
      <x:c r="E82" s="1"/>
      <x:c r="F82" s="1"/>
      <x:c r="G82" s="1"/>
      <x:c r="H82" s="1"/>
      <x:c r="I82" s="6"/>
      <x:c r="J82" s="6"/>
      <x:c r="K82" s="6"/>
      <x:c r="L82" s="8" t="str">
        <x:f>IF(I82="","",I82+J82-K82)</x:f>
      </x:c>
      <x:c r="M82" s="1"/>
      <x:c r="N82" s="1"/>
      <x:c r="O82" s="1"/>
      <x:c r="P82" s="1"/>
      <x:c r="Q82" s="7" t="n">
        <x:f>IF(AND(M82="Confirmado",ISNUMBER(I82)),I82,0)</x:f>
        <x:v>0</x:v>
      </x:c>
    </x:row>
    <x:row r="83">
      <x:c r="A83" s="1"/>
      <x:c r="B83" s="5"/>
      <x:c r="C83" s="7" t="str">
        <x:f>IF(B83="","",YEAR(B83))</x:f>
      </x:c>
      <x:c r="D83" s="7" t="str">
        <x:f>IF(B83="","",INT((MONTH(B83)-1)/3)+1)</x:f>
      </x:c>
      <x:c r="E83" s="1"/>
      <x:c r="F83" s="1"/>
      <x:c r="G83" s="1"/>
      <x:c r="H83" s="1"/>
      <x:c r="I83" s="6"/>
      <x:c r="J83" s="6"/>
      <x:c r="K83" s="6"/>
      <x:c r="L83" s="8" t="str">
        <x:f>IF(I83="","",I83+J83-K83)</x:f>
      </x:c>
      <x:c r="M83" s="1"/>
      <x:c r="N83" s="1"/>
      <x:c r="O83" s="1"/>
      <x:c r="P83" s="1"/>
      <x:c r="Q83" s="7" t="n">
        <x:f>IF(AND(M83="Confirmado",ISNUMBER(I83)),I83,0)</x:f>
        <x:v>0</x:v>
      </x:c>
    </x:row>
    <x:row r="84">
      <x:c r="A84" s="1"/>
      <x:c r="B84" s="5"/>
      <x:c r="C84" s="7" t="str">
        <x:f>IF(B84="","",YEAR(B84))</x:f>
      </x:c>
      <x:c r="D84" s="7" t="str">
        <x:f>IF(B84="","",INT((MONTH(B84)-1)/3)+1)</x:f>
      </x:c>
      <x:c r="E84" s="1"/>
      <x:c r="F84" s="1"/>
      <x:c r="G84" s="1"/>
      <x:c r="H84" s="1"/>
      <x:c r="I84" s="6"/>
      <x:c r="J84" s="6"/>
      <x:c r="K84" s="6"/>
      <x:c r="L84" s="8" t="str">
        <x:f>IF(I84="","",I84+J84-K84)</x:f>
      </x:c>
      <x:c r="M84" s="1"/>
      <x:c r="N84" s="1"/>
      <x:c r="O84" s="1"/>
      <x:c r="P84" s="1"/>
      <x:c r="Q84" s="7" t="n">
        <x:f>IF(AND(M84="Confirmado",ISNUMBER(I84)),I84,0)</x:f>
        <x:v>0</x:v>
      </x:c>
    </x:row>
    <x:row r="85">
      <x:c r="A85" s="1"/>
      <x:c r="B85" s="5"/>
      <x:c r="C85" s="7" t="str">
        <x:f>IF(B85="","",YEAR(B85))</x:f>
      </x:c>
      <x:c r="D85" s="7" t="str">
        <x:f>IF(B85="","",INT((MONTH(B85)-1)/3)+1)</x:f>
      </x:c>
      <x:c r="E85" s="1"/>
      <x:c r="F85" s="1"/>
      <x:c r="G85" s="1"/>
      <x:c r="H85" s="1"/>
      <x:c r="I85" s="6"/>
      <x:c r="J85" s="6"/>
      <x:c r="K85" s="6"/>
      <x:c r="L85" s="8" t="str">
        <x:f>IF(I85="","",I85+J85-K85)</x:f>
      </x:c>
      <x:c r="M85" s="1"/>
      <x:c r="N85" s="1"/>
      <x:c r="O85" s="1"/>
      <x:c r="P85" s="1"/>
      <x:c r="Q85" s="7" t="n">
        <x:f>IF(AND(M85="Confirmado",ISNUMBER(I85)),I85,0)</x:f>
        <x:v>0</x:v>
      </x:c>
    </x:row>
    <x:row r="86">
      <x:c r="A86" s="1"/>
      <x:c r="B86" s="5"/>
      <x:c r="C86" s="7" t="str">
        <x:f>IF(B86="","",YEAR(B86))</x:f>
      </x:c>
      <x:c r="D86" s="7" t="str">
        <x:f>IF(B86="","",INT((MONTH(B86)-1)/3)+1)</x:f>
      </x:c>
      <x:c r="E86" s="1"/>
      <x:c r="F86" s="1"/>
      <x:c r="G86" s="1"/>
      <x:c r="H86" s="1"/>
      <x:c r="I86" s="6"/>
      <x:c r="J86" s="6"/>
      <x:c r="K86" s="6"/>
      <x:c r="L86" s="8" t="str">
        <x:f>IF(I86="","",I86+J86-K86)</x:f>
      </x:c>
      <x:c r="M86" s="1"/>
      <x:c r="N86" s="1"/>
      <x:c r="O86" s="1"/>
      <x:c r="P86" s="1"/>
      <x:c r="Q86" s="7" t="n">
        <x:f>IF(AND(M86="Confirmado",ISNUMBER(I86)),I86,0)</x:f>
        <x:v>0</x:v>
      </x:c>
    </x:row>
    <x:row r="87">
      <x:c r="A87" s="1"/>
      <x:c r="B87" s="5"/>
      <x:c r="C87" s="7" t="str">
        <x:f>IF(B87="","",YEAR(B87))</x:f>
      </x:c>
      <x:c r="D87" s="7" t="str">
        <x:f>IF(B87="","",INT((MONTH(B87)-1)/3)+1)</x:f>
      </x:c>
      <x:c r="E87" s="1"/>
      <x:c r="F87" s="1"/>
      <x:c r="G87" s="1"/>
      <x:c r="H87" s="1"/>
      <x:c r="I87" s="6"/>
      <x:c r="J87" s="6"/>
      <x:c r="K87" s="6"/>
      <x:c r="L87" s="8" t="str">
        <x:f>IF(I87="","",I87+J87-K87)</x:f>
      </x:c>
      <x:c r="M87" s="1"/>
      <x:c r="N87" s="1"/>
      <x:c r="O87" s="1"/>
      <x:c r="P87" s="1"/>
      <x:c r="Q87" s="7" t="n">
        <x:f>IF(AND(M87="Confirmado",ISNUMBER(I87)),I87,0)</x:f>
        <x:v>0</x:v>
      </x:c>
    </x:row>
    <x:row r="88">
      <x:c r="A88" s="1"/>
      <x:c r="B88" s="5"/>
      <x:c r="C88" s="7" t="str">
        <x:f>IF(B88="","",YEAR(B88))</x:f>
      </x:c>
      <x:c r="D88" s="7" t="str">
        <x:f>IF(B88="","",INT((MONTH(B88)-1)/3)+1)</x:f>
      </x:c>
      <x:c r="E88" s="1"/>
      <x:c r="F88" s="1"/>
      <x:c r="G88" s="1"/>
      <x:c r="H88" s="1"/>
      <x:c r="I88" s="6"/>
      <x:c r="J88" s="6"/>
      <x:c r="K88" s="6"/>
      <x:c r="L88" s="8" t="str">
        <x:f>IF(I88="","",I88+J88-K88)</x:f>
      </x:c>
      <x:c r="M88" s="1"/>
      <x:c r="N88" s="1"/>
      <x:c r="O88" s="1"/>
      <x:c r="P88" s="1"/>
      <x:c r="Q88" s="7" t="n">
        <x:f>IF(AND(M88="Confirmado",ISNUMBER(I88)),I88,0)</x:f>
        <x:v>0</x:v>
      </x:c>
    </x:row>
    <x:row r="89">
      <x:c r="A89" s="1"/>
      <x:c r="B89" s="5"/>
      <x:c r="C89" s="7" t="str">
        <x:f>IF(B89="","",YEAR(B89))</x:f>
      </x:c>
      <x:c r="D89" s="7" t="str">
        <x:f>IF(B89="","",INT((MONTH(B89)-1)/3)+1)</x:f>
      </x:c>
      <x:c r="E89" s="1"/>
      <x:c r="F89" s="1"/>
      <x:c r="G89" s="1"/>
      <x:c r="H89" s="1"/>
      <x:c r="I89" s="6"/>
      <x:c r="J89" s="6"/>
      <x:c r="K89" s="6"/>
      <x:c r="L89" s="8" t="str">
        <x:f>IF(I89="","",I89+J89-K89)</x:f>
      </x:c>
      <x:c r="M89" s="1"/>
      <x:c r="N89" s="1"/>
      <x:c r="O89" s="1"/>
      <x:c r="P89" s="1"/>
      <x:c r="Q89" s="7" t="n">
        <x:f>IF(AND(M89="Confirmado",ISNUMBER(I89)),I89,0)</x:f>
        <x:v>0</x:v>
      </x:c>
    </x:row>
    <x:row r="90">
      <x:c r="A90" s="1"/>
      <x:c r="B90" s="5"/>
      <x:c r="C90" s="7" t="str">
        <x:f>IF(B90="","",YEAR(B90))</x:f>
      </x:c>
      <x:c r="D90" s="7" t="str">
        <x:f>IF(B90="","",INT((MONTH(B90)-1)/3)+1)</x:f>
      </x:c>
      <x:c r="E90" s="1"/>
      <x:c r="F90" s="1"/>
      <x:c r="G90" s="1"/>
      <x:c r="H90" s="1"/>
      <x:c r="I90" s="6"/>
      <x:c r="J90" s="6"/>
      <x:c r="K90" s="6"/>
      <x:c r="L90" s="8" t="str">
        <x:f>IF(I90="","",I90+J90-K90)</x:f>
      </x:c>
      <x:c r="M90" s="1"/>
      <x:c r="N90" s="1"/>
      <x:c r="O90" s="1"/>
      <x:c r="P90" s="1"/>
      <x:c r="Q90" s="7" t="n">
        <x:f>IF(AND(M90="Confirmado",ISNUMBER(I90)),I90,0)</x:f>
        <x:v>0</x:v>
      </x:c>
    </x:row>
    <x:row r="91">
      <x:c r="A91" s="1"/>
      <x:c r="B91" s="5"/>
      <x:c r="C91" s="7" t="str">
        <x:f>IF(B91="","",YEAR(B91))</x:f>
      </x:c>
      <x:c r="D91" s="7" t="str">
        <x:f>IF(B91="","",INT((MONTH(B91)-1)/3)+1)</x:f>
      </x:c>
      <x:c r="E91" s="1"/>
      <x:c r="F91" s="1"/>
      <x:c r="G91" s="1"/>
      <x:c r="H91" s="1"/>
      <x:c r="I91" s="6"/>
      <x:c r="J91" s="6"/>
      <x:c r="K91" s="6"/>
      <x:c r="L91" s="8" t="str">
        <x:f>IF(I91="","",I91+J91-K91)</x:f>
      </x:c>
      <x:c r="M91" s="1"/>
      <x:c r="N91" s="1"/>
      <x:c r="O91" s="1"/>
      <x:c r="P91" s="1"/>
      <x:c r="Q91" s="7" t="n">
        <x:f>IF(AND(M91="Confirmado",ISNUMBER(I91)),I91,0)</x:f>
        <x:v>0</x:v>
      </x:c>
    </x:row>
    <x:row r="92">
      <x:c r="A92" s="1"/>
      <x:c r="B92" s="5"/>
      <x:c r="C92" s="7" t="str">
        <x:f>IF(B92="","",YEAR(B92))</x:f>
      </x:c>
      <x:c r="D92" s="7" t="str">
        <x:f>IF(B92="","",INT((MONTH(B92)-1)/3)+1)</x:f>
      </x:c>
      <x:c r="E92" s="1"/>
      <x:c r="F92" s="1"/>
      <x:c r="G92" s="1"/>
      <x:c r="H92" s="1"/>
      <x:c r="I92" s="6"/>
      <x:c r="J92" s="6"/>
      <x:c r="K92" s="6"/>
      <x:c r="L92" s="8" t="str">
        <x:f>IF(I92="","",I92+J92-K92)</x:f>
      </x:c>
      <x:c r="M92" s="1"/>
      <x:c r="N92" s="1"/>
      <x:c r="O92" s="1"/>
      <x:c r="P92" s="1"/>
      <x:c r="Q92" s="7" t="n">
        <x:f>IF(AND(M92="Confirmado",ISNUMBER(I92)),I92,0)</x:f>
        <x:v>0</x:v>
      </x:c>
    </x:row>
    <x:row r="93">
      <x:c r="A93" s="1"/>
      <x:c r="B93" s="5"/>
      <x:c r="C93" s="7" t="str">
        <x:f>IF(B93="","",YEAR(B93))</x:f>
      </x:c>
      <x:c r="D93" s="7" t="str">
        <x:f>IF(B93="","",INT((MONTH(B93)-1)/3)+1)</x:f>
      </x:c>
      <x:c r="E93" s="1"/>
      <x:c r="F93" s="1"/>
      <x:c r="G93" s="1"/>
      <x:c r="H93" s="1"/>
      <x:c r="I93" s="6"/>
      <x:c r="J93" s="6"/>
      <x:c r="K93" s="6"/>
      <x:c r="L93" s="8" t="str">
        <x:f>IF(I93="","",I93+J93-K93)</x:f>
      </x:c>
      <x:c r="M93" s="1"/>
      <x:c r="N93" s="1"/>
      <x:c r="O93" s="1"/>
      <x:c r="P93" s="1"/>
      <x:c r="Q93" s="7" t="n">
        <x:f>IF(AND(M93="Confirmado",ISNUMBER(I93)),I93,0)</x:f>
        <x:v>0</x:v>
      </x:c>
    </x:row>
    <x:row r="94">
      <x:c r="A94" s="1"/>
      <x:c r="B94" s="5"/>
      <x:c r="C94" s="7" t="str">
        <x:f>IF(B94="","",YEAR(B94))</x:f>
      </x:c>
      <x:c r="D94" s="7" t="str">
        <x:f>IF(B94="","",INT((MONTH(B94)-1)/3)+1)</x:f>
      </x:c>
      <x:c r="E94" s="1"/>
      <x:c r="F94" s="1"/>
      <x:c r="G94" s="1"/>
      <x:c r="H94" s="1"/>
      <x:c r="I94" s="6"/>
      <x:c r="J94" s="6"/>
      <x:c r="K94" s="6"/>
      <x:c r="L94" s="8" t="str">
        <x:f>IF(I94="","",I94+J94-K94)</x:f>
      </x:c>
      <x:c r="M94" s="1"/>
      <x:c r="N94" s="1"/>
      <x:c r="O94" s="1"/>
      <x:c r="P94" s="1"/>
      <x:c r="Q94" s="7" t="n">
        <x:f>IF(AND(M94="Confirmado",ISNUMBER(I94)),I94,0)</x:f>
        <x:v>0</x:v>
      </x:c>
    </x:row>
    <x:row r="95">
      <x:c r="A95" s="1"/>
      <x:c r="B95" s="5"/>
      <x:c r="C95" s="7" t="str">
        <x:f>IF(B95="","",YEAR(B95))</x:f>
      </x:c>
      <x:c r="D95" s="7" t="str">
        <x:f>IF(B95="","",INT((MONTH(B95)-1)/3)+1)</x:f>
      </x:c>
      <x:c r="E95" s="1"/>
      <x:c r="F95" s="1"/>
      <x:c r="G95" s="1"/>
      <x:c r="H95" s="1"/>
      <x:c r="I95" s="6"/>
      <x:c r="J95" s="6"/>
      <x:c r="K95" s="6"/>
      <x:c r="L95" s="8" t="str">
        <x:f>IF(I95="","",I95+J95-K95)</x:f>
      </x:c>
      <x:c r="M95" s="1"/>
      <x:c r="N95" s="1"/>
      <x:c r="O95" s="1"/>
      <x:c r="P95" s="1"/>
      <x:c r="Q95" s="7" t="n">
        <x:f>IF(AND(M95="Confirmado",ISNUMBER(I95)),I95,0)</x:f>
        <x:v>0</x:v>
      </x:c>
    </x:row>
    <x:row r="96">
      <x:c r="A96" s="1"/>
      <x:c r="B96" s="5"/>
      <x:c r="C96" s="7" t="str">
        <x:f>IF(B96="","",YEAR(B96))</x:f>
      </x:c>
      <x:c r="D96" s="7" t="str">
        <x:f>IF(B96="","",INT((MONTH(B96)-1)/3)+1)</x:f>
      </x:c>
      <x:c r="E96" s="1"/>
      <x:c r="F96" s="1"/>
      <x:c r="G96" s="1"/>
      <x:c r="H96" s="1"/>
      <x:c r="I96" s="6"/>
      <x:c r="J96" s="6"/>
      <x:c r="K96" s="6"/>
      <x:c r="L96" s="8" t="str">
        <x:f>IF(I96="","",I96+J96-K96)</x:f>
      </x:c>
      <x:c r="M96" s="1"/>
      <x:c r="N96" s="1"/>
      <x:c r="O96" s="1"/>
      <x:c r="P96" s="1"/>
      <x:c r="Q96" s="7" t="n">
        <x:f>IF(AND(M96="Confirmado",ISNUMBER(I96)),I96,0)</x:f>
        <x:v>0</x:v>
      </x:c>
    </x:row>
    <x:row r="97">
      <x:c r="A97" s="1"/>
      <x:c r="B97" s="5"/>
      <x:c r="C97" s="7" t="str">
        <x:f>IF(B97="","",YEAR(B97))</x:f>
      </x:c>
      <x:c r="D97" s="7" t="str">
        <x:f>IF(B97="","",INT((MONTH(B97)-1)/3)+1)</x:f>
      </x:c>
      <x:c r="E97" s="1"/>
      <x:c r="F97" s="1"/>
      <x:c r="G97" s="1"/>
      <x:c r="H97" s="1"/>
      <x:c r="I97" s="6"/>
      <x:c r="J97" s="6"/>
      <x:c r="K97" s="6"/>
      <x:c r="L97" s="8" t="str">
        <x:f>IF(I97="","",I97+J97-K97)</x:f>
      </x:c>
      <x:c r="M97" s="1"/>
      <x:c r="N97" s="1"/>
      <x:c r="O97" s="1"/>
      <x:c r="P97" s="1"/>
      <x:c r="Q97" s="7" t="n">
        <x:f>IF(AND(M97="Confirmado",ISNUMBER(I97)),I97,0)</x:f>
        <x:v>0</x:v>
      </x:c>
    </x:row>
    <x:row r="98">
      <x:c r="A98" s="1"/>
      <x:c r="B98" s="5"/>
      <x:c r="C98" s="7" t="str">
        <x:f>IF(B98="","",YEAR(B98))</x:f>
      </x:c>
      <x:c r="D98" s="7" t="str">
        <x:f>IF(B98="","",INT((MONTH(B98)-1)/3)+1)</x:f>
      </x:c>
      <x:c r="E98" s="1"/>
      <x:c r="F98" s="1"/>
      <x:c r="G98" s="1"/>
      <x:c r="H98" s="1"/>
      <x:c r="I98" s="6"/>
      <x:c r="J98" s="6"/>
      <x:c r="K98" s="6"/>
      <x:c r="L98" s="8" t="str">
        <x:f>IF(I98="","",I98+J98-K98)</x:f>
      </x:c>
      <x:c r="M98" s="1"/>
      <x:c r="N98" s="1"/>
      <x:c r="O98" s="1"/>
      <x:c r="P98" s="1"/>
      <x:c r="Q98" s="7" t="n">
        <x:f>IF(AND(M98="Confirmado",ISNUMBER(I98)),I98,0)</x:f>
        <x:v>0</x:v>
      </x:c>
    </x:row>
    <x:row r="99">
      <x:c r="A99" s="1"/>
      <x:c r="B99" s="5"/>
      <x:c r="C99" s="7" t="str">
        <x:f>IF(B99="","",YEAR(B99))</x:f>
      </x:c>
      <x:c r="D99" s="7" t="str">
        <x:f>IF(B99="","",INT((MONTH(B99)-1)/3)+1)</x:f>
      </x:c>
      <x:c r="E99" s="1"/>
      <x:c r="F99" s="1"/>
      <x:c r="G99" s="1"/>
      <x:c r="H99" s="1"/>
      <x:c r="I99" s="6"/>
      <x:c r="J99" s="6"/>
      <x:c r="K99" s="6"/>
      <x:c r="L99" s="8" t="str">
        <x:f>IF(I99="","",I99+J99-K99)</x:f>
      </x:c>
      <x:c r="M99" s="1"/>
      <x:c r="N99" s="1"/>
      <x:c r="O99" s="1"/>
      <x:c r="P99" s="1"/>
      <x:c r="Q99" s="7" t="n">
        <x:f>IF(AND(M99="Confirmado",ISNUMBER(I99)),I99,0)</x:f>
        <x:v>0</x:v>
      </x:c>
    </x:row>
    <x:row r="100">
      <x:c r="A100" s="1"/>
      <x:c r="B100" s="5"/>
      <x:c r="C100" s="7" t="str">
        <x:f>IF(B100="","",YEAR(B100))</x:f>
      </x:c>
      <x:c r="D100" s="7" t="str">
        <x:f>IF(B100="","",INT((MONTH(B100)-1)/3)+1)</x:f>
      </x:c>
      <x:c r="E100" s="1"/>
      <x:c r="F100" s="1"/>
      <x:c r="G100" s="1"/>
      <x:c r="H100" s="1"/>
      <x:c r="I100" s="6"/>
      <x:c r="J100" s="6"/>
      <x:c r="K100" s="6"/>
      <x:c r="L100" s="8" t="str">
        <x:f>IF(I100="","",I100+J100-K100)</x:f>
      </x:c>
      <x:c r="M100" s="1"/>
      <x:c r="N100" s="1"/>
      <x:c r="O100" s="1"/>
      <x:c r="P100" s="1"/>
      <x:c r="Q100" s="7" t="n">
        <x:f>IF(AND(M100="Confirmado",ISNUMBER(I100)),I100,0)</x:f>
        <x:v>0</x:v>
      </x:c>
    </x:row>
    <x:row r="101">
      <x:c r="A101" s="1"/>
      <x:c r="B101" s="5"/>
      <x:c r="C101" s="7" t="str">
        <x:f>IF(B101="","",YEAR(B101))</x:f>
      </x:c>
      <x:c r="D101" s="7" t="str">
        <x:f>IF(B101="","",INT((MONTH(B101)-1)/3)+1)</x:f>
      </x:c>
      <x:c r="E101" s="1"/>
      <x:c r="F101" s="1"/>
      <x:c r="G101" s="1"/>
      <x:c r="H101" s="1"/>
      <x:c r="I101" s="6"/>
      <x:c r="J101" s="6"/>
      <x:c r="K101" s="6"/>
      <x:c r="L101" s="8" t="str">
        <x:f>IF(I101="","",I101+J101-K101)</x:f>
      </x:c>
      <x:c r="M101" s="1"/>
      <x:c r="N101" s="1"/>
      <x:c r="O101" s="1"/>
      <x:c r="P101" s="1"/>
      <x:c r="Q101" s="7" t="n">
        <x:f>IF(AND(M101="Confirmado",ISNUMBER(I101)),I101,0)</x:f>
        <x:v>0</x:v>
      </x:c>
    </x:row>
    <x:row r="102">
      <x:c r="A102" s="1"/>
      <x:c r="B102" s="5"/>
      <x:c r="C102" s="7" t="str">
        <x:f>IF(B102="","",YEAR(B102))</x:f>
      </x:c>
      <x:c r="D102" s="7" t="str">
        <x:f>IF(B102="","",INT((MONTH(B102)-1)/3)+1)</x:f>
      </x:c>
      <x:c r="E102" s="1"/>
      <x:c r="F102" s="1"/>
      <x:c r="G102" s="1"/>
      <x:c r="H102" s="1"/>
      <x:c r="I102" s="6"/>
      <x:c r="J102" s="6"/>
      <x:c r="K102" s="6"/>
      <x:c r="L102" s="8" t="str">
        <x:f>IF(I102="","",I102+J102-K102)</x:f>
      </x:c>
      <x:c r="M102" s="1"/>
      <x:c r="N102" s="1"/>
      <x:c r="O102" s="1"/>
      <x:c r="P102" s="1"/>
      <x:c r="Q102" s="7" t="n">
        <x:f>IF(AND(M102="Confirmado",ISNUMBER(I102)),I102,0)</x:f>
        <x:v>0</x:v>
      </x:c>
    </x:row>
    <x:row r="103">
      <x:c r="A103" s="1"/>
      <x:c r="B103" s="5"/>
      <x:c r="C103" s="7" t="str">
        <x:f>IF(B103="","",YEAR(B103))</x:f>
      </x:c>
      <x:c r="D103" s="7" t="str">
        <x:f>IF(B103="","",INT((MONTH(B103)-1)/3)+1)</x:f>
      </x:c>
      <x:c r="E103" s="1"/>
      <x:c r="F103" s="1"/>
      <x:c r="G103" s="1"/>
      <x:c r="H103" s="1"/>
      <x:c r="I103" s="6"/>
      <x:c r="J103" s="6"/>
      <x:c r="K103" s="6"/>
      <x:c r="L103" s="8" t="str">
        <x:f>IF(I103="","",I103+J103-K103)</x:f>
      </x:c>
      <x:c r="M103" s="1"/>
      <x:c r="N103" s="1"/>
      <x:c r="O103" s="1"/>
      <x:c r="P103" s="1"/>
      <x:c r="Q103" s="7" t="n">
        <x:f>IF(AND(M103="Confirmado",ISNUMBER(I103)),I103,0)</x:f>
        <x:v>0</x:v>
      </x:c>
    </x:row>
    <x:row r="104">
      <x:c r="A104" s="1"/>
      <x:c r="B104" s="5"/>
      <x:c r="C104" s="7" t="str">
        <x:f>IF(B104="","",YEAR(B104))</x:f>
      </x:c>
      <x:c r="D104" s="7" t="str">
        <x:f>IF(B104="","",INT((MONTH(B104)-1)/3)+1)</x:f>
      </x:c>
      <x:c r="E104" s="1"/>
      <x:c r="F104" s="1"/>
      <x:c r="G104" s="1"/>
      <x:c r="H104" s="1"/>
      <x:c r="I104" s="6"/>
      <x:c r="J104" s="6"/>
      <x:c r="K104" s="6"/>
      <x:c r="L104" s="8" t="str">
        <x:f>IF(I104="","",I104+J104-K104)</x:f>
      </x:c>
      <x:c r="M104" s="1"/>
      <x:c r="N104" s="1"/>
      <x:c r="O104" s="1"/>
      <x:c r="P104" s="1"/>
      <x:c r="Q104" s="7" t="n">
        <x:f>IF(AND(M104="Confirmado",ISNUMBER(I104)),I104,0)</x:f>
        <x:v>0</x:v>
      </x:c>
    </x:row>
    <x:row r="105">
      <x:c r="A105" s="1"/>
      <x:c r="B105" s="5"/>
      <x:c r="C105" s="7" t="str">
        <x:f>IF(B105="","",YEAR(B105))</x:f>
      </x:c>
      <x:c r="D105" s="7" t="str">
        <x:f>IF(B105="","",INT((MONTH(B105)-1)/3)+1)</x:f>
      </x:c>
      <x:c r="E105" s="1"/>
      <x:c r="F105" s="1"/>
      <x:c r="G105" s="1"/>
      <x:c r="H105" s="1"/>
      <x:c r="I105" s="6"/>
      <x:c r="J105" s="6"/>
      <x:c r="K105" s="6"/>
      <x:c r="L105" s="8" t="str">
        <x:f>IF(I105="","",I105+J105-K105)</x:f>
      </x:c>
      <x:c r="M105" s="1"/>
      <x:c r="N105" s="1"/>
      <x:c r="O105" s="1"/>
      <x:c r="P105" s="1"/>
      <x:c r="Q105" s="7" t="n">
        <x:f>IF(AND(M105="Confirmado",ISNUMBER(I105)),I105,0)</x:f>
        <x:v>0</x:v>
      </x:c>
    </x:row>
    <x:row r="106">
      <x:c r="A106" s="1"/>
      <x:c r="B106" s="5"/>
      <x:c r="C106" s="7" t="str">
        <x:f>IF(B106="","",YEAR(B106))</x:f>
      </x:c>
      <x:c r="D106" s="7" t="str">
        <x:f>IF(B106="","",INT((MONTH(B106)-1)/3)+1)</x:f>
      </x:c>
      <x:c r="E106" s="1"/>
      <x:c r="F106" s="1"/>
      <x:c r="G106" s="1"/>
      <x:c r="H106" s="1"/>
      <x:c r="I106" s="6"/>
      <x:c r="J106" s="6"/>
      <x:c r="K106" s="6"/>
      <x:c r="L106" s="8" t="str">
        <x:f>IF(I106="","",I106+J106-K106)</x:f>
      </x:c>
      <x:c r="M106" s="1"/>
      <x:c r="N106" s="1"/>
      <x:c r="O106" s="1"/>
      <x:c r="P106" s="1"/>
      <x:c r="Q106" s="7" t="n">
        <x:f>IF(AND(M106="Confirmado",ISNUMBER(I106)),I106,0)</x:f>
        <x:v>0</x:v>
      </x:c>
    </x:row>
    <x:row r="107">
      <x:c r="A107" s="1"/>
      <x:c r="B107" s="5"/>
      <x:c r="C107" s="7" t="str">
        <x:f>IF(B107="","",YEAR(B107))</x:f>
      </x:c>
      <x:c r="D107" s="7" t="str">
        <x:f>IF(B107="","",INT((MONTH(B107)-1)/3)+1)</x:f>
      </x:c>
      <x:c r="E107" s="1"/>
      <x:c r="F107" s="1"/>
      <x:c r="G107" s="1"/>
      <x:c r="H107" s="1"/>
      <x:c r="I107" s="6"/>
      <x:c r="J107" s="6"/>
      <x:c r="K107" s="6"/>
      <x:c r="L107" s="8" t="str">
        <x:f>IF(I107="","",I107+J107-K107)</x:f>
      </x:c>
      <x:c r="M107" s="1"/>
      <x:c r="N107" s="1"/>
      <x:c r="O107" s="1"/>
      <x:c r="P107" s="1"/>
      <x:c r="Q107" s="7" t="n">
        <x:f>IF(AND(M107="Confirmado",ISNUMBER(I107)),I107,0)</x:f>
        <x:v>0</x:v>
      </x:c>
    </x:row>
    <x:row r="108">
      <x:c r="A108" s="1"/>
      <x:c r="B108" s="5"/>
      <x:c r="C108" s="7" t="str">
        <x:f>IF(B108="","",YEAR(B108))</x:f>
      </x:c>
      <x:c r="D108" s="7" t="str">
        <x:f>IF(B108="","",INT((MONTH(B108)-1)/3)+1)</x:f>
      </x:c>
      <x:c r="E108" s="1"/>
      <x:c r="F108" s="1"/>
      <x:c r="G108" s="1"/>
      <x:c r="H108" s="1"/>
      <x:c r="I108" s="6"/>
      <x:c r="J108" s="6"/>
      <x:c r="K108" s="6"/>
      <x:c r="L108" s="8" t="str">
        <x:f>IF(I108="","",I108+J108-K108)</x:f>
      </x:c>
      <x:c r="M108" s="1"/>
      <x:c r="N108" s="1"/>
      <x:c r="O108" s="1"/>
      <x:c r="P108" s="1"/>
      <x:c r="Q108" s="7" t="n">
        <x:f>IF(AND(M108="Confirmado",ISNUMBER(I108)),I108,0)</x:f>
        <x:v>0</x:v>
      </x:c>
    </x:row>
    <x:row r="109">
      <x:c r="A109" s="1"/>
      <x:c r="B109" s="5"/>
      <x:c r="C109" s="7" t="str">
        <x:f>IF(B109="","",YEAR(B109))</x:f>
      </x:c>
      <x:c r="D109" s="7" t="str">
        <x:f>IF(B109="","",INT((MONTH(B109)-1)/3)+1)</x:f>
      </x:c>
      <x:c r="E109" s="1"/>
      <x:c r="F109" s="1"/>
      <x:c r="G109" s="1"/>
      <x:c r="H109" s="1"/>
      <x:c r="I109" s="6"/>
      <x:c r="J109" s="6"/>
      <x:c r="K109" s="6"/>
      <x:c r="L109" s="8" t="str">
        <x:f>IF(I109="","",I109+J109-K109)</x:f>
      </x:c>
      <x:c r="M109" s="1"/>
      <x:c r="N109" s="1"/>
      <x:c r="O109" s="1"/>
      <x:c r="P109" s="1"/>
      <x:c r="Q109" s="7" t="n">
        <x:f>IF(AND(M109="Confirmado",ISNUMBER(I109)),I109,0)</x:f>
        <x:v>0</x:v>
      </x:c>
    </x:row>
    <x:row r="110">
      <x:c r="A110" s="1"/>
      <x:c r="B110" s="5"/>
      <x:c r="C110" s="7" t="str">
        <x:f>IF(B110="","",YEAR(B110))</x:f>
      </x:c>
      <x:c r="D110" s="7" t="str">
        <x:f>IF(B110="","",INT((MONTH(B110)-1)/3)+1)</x:f>
      </x:c>
      <x:c r="E110" s="1"/>
      <x:c r="F110" s="1"/>
      <x:c r="G110" s="1"/>
      <x:c r="H110" s="1"/>
      <x:c r="I110" s="6"/>
      <x:c r="J110" s="6"/>
      <x:c r="K110" s="6"/>
      <x:c r="L110" s="8" t="str">
        <x:f>IF(I110="","",I110+J110-K110)</x:f>
      </x:c>
      <x:c r="M110" s="1"/>
      <x:c r="N110" s="1"/>
      <x:c r="O110" s="1"/>
      <x:c r="P110" s="1"/>
      <x:c r="Q110" s="7" t="n">
        <x:f>IF(AND(M110="Confirmado",ISNUMBER(I110)),I110,0)</x:f>
        <x:v>0</x:v>
      </x:c>
    </x:row>
    <x:row r="111">
      <x:c r="A111" s="1"/>
      <x:c r="B111" s="5"/>
      <x:c r="C111" s="7" t="str">
        <x:f>IF(B111="","",YEAR(B111))</x:f>
      </x:c>
      <x:c r="D111" s="7" t="str">
        <x:f>IF(B111="","",INT((MONTH(B111)-1)/3)+1)</x:f>
      </x:c>
      <x:c r="E111" s="1"/>
      <x:c r="F111" s="1"/>
      <x:c r="G111" s="1"/>
      <x:c r="H111" s="1"/>
      <x:c r="I111" s="6"/>
      <x:c r="J111" s="6"/>
      <x:c r="K111" s="6"/>
      <x:c r="L111" s="8" t="str">
        <x:f>IF(I111="","",I111+J111-K111)</x:f>
      </x:c>
      <x:c r="M111" s="1"/>
      <x:c r="N111" s="1"/>
      <x:c r="O111" s="1"/>
      <x:c r="P111" s="1"/>
      <x:c r="Q111" s="7" t="n">
        <x:f>IF(AND(M111="Confirmado",ISNUMBER(I111)),I111,0)</x:f>
        <x:v>0</x:v>
      </x:c>
    </x:row>
    <x:row r="112">
      <x:c r="A112" s="1"/>
      <x:c r="B112" s="5"/>
      <x:c r="C112" s="7" t="str">
        <x:f>IF(B112="","",YEAR(B112))</x:f>
      </x:c>
      <x:c r="D112" s="7" t="str">
        <x:f>IF(B112="","",INT((MONTH(B112)-1)/3)+1)</x:f>
      </x:c>
      <x:c r="E112" s="1"/>
      <x:c r="F112" s="1"/>
      <x:c r="G112" s="1"/>
      <x:c r="H112" s="1"/>
      <x:c r="I112" s="6"/>
      <x:c r="J112" s="6"/>
      <x:c r="K112" s="6"/>
      <x:c r="L112" s="8" t="str">
        <x:f>IF(I112="","",I112+J112-K112)</x:f>
      </x:c>
      <x:c r="M112" s="1"/>
      <x:c r="N112" s="1"/>
      <x:c r="O112" s="1"/>
      <x:c r="P112" s="1"/>
      <x:c r="Q112" s="7" t="n">
        <x:f>IF(AND(M112="Confirmado",ISNUMBER(I112)),I112,0)</x:f>
        <x:v>0</x:v>
      </x:c>
    </x:row>
    <x:row r="113">
      <x:c r="A113" s="1"/>
      <x:c r="B113" s="5"/>
      <x:c r="C113" s="7" t="str">
        <x:f>IF(B113="","",YEAR(B113))</x:f>
      </x:c>
      <x:c r="D113" s="7" t="str">
        <x:f>IF(B113="","",INT((MONTH(B113)-1)/3)+1)</x:f>
      </x:c>
      <x:c r="E113" s="1"/>
      <x:c r="F113" s="1"/>
      <x:c r="G113" s="1"/>
      <x:c r="H113" s="1"/>
      <x:c r="I113" s="6"/>
      <x:c r="J113" s="6"/>
      <x:c r="K113" s="6"/>
      <x:c r="L113" s="8" t="str">
        <x:f>IF(I113="","",I113+J113-K113)</x:f>
      </x:c>
      <x:c r="M113" s="1"/>
      <x:c r="N113" s="1"/>
      <x:c r="O113" s="1"/>
      <x:c r="P113" s="1"/>
      <x:c r="Q113" s="7" t="n">
        <x:f>IF(AND(M113="Confirmado",ISNUMBER(I113)),I113,0)</x:f>
        <x:v>0</x:v>
      </x:c>
    </x:row>
    <x:row r="114">
      <x:c r="A114" s="1"/>
      <x:c r="B114" s="5"/>
      <x:c r="C114" s="7" t="str">
        <x:f>IF(B114="","",YEAR(B114))</x:f>
      </x:c>
      <x:c r="D114" s="7" t="str">
        <x:f>IF(B114="","",INT((MONTH(B114)-1)/3)+1)</x:f>
      </x:c>
      <x:c r="E114" s="1"/>
      <x:c r="F114" s="1"/>
      <x:c r="G114" s="1"/>
      <x:c r="H114" s="1"/>
      <x:c r="I114" s="6"/>
      <x:c r="J114" s="6"/>
      <x:c r="K114" s="6"/>
      <x:c r="L114" s="8" t="str">
        <x:f>IF(I114="","",I114+J114-K114)</x:f>
      </x:c>
      <x:c r="M114" s="1"/>
      <x:c r="N114" s="1"/>
      <x:c r="O114" s="1"/>
      <x:c r="P114" s="1"/>
      <x:c r="Q114" s="7" t="n">
        <x:f>IF(AND(M114="Confirmado",ISNUMBER(I114)),I114,0)</x:f>
        <x:v>0</x:v>
      </x:c>
    </x:row>
    <x:row r="115">
      <x:c r="A115" s="1"/>
      <x:c r="B115" s="5"/>
      <x:c r="C115" s="7" t="str">
        <x:f>IF(B115="","",YEAR(B115))</x:f>
      </x:c>
      <x:c r="D115" s="7" t="str">
        <x:f>IF(B115="","",INT((MONTH(B115)-1)/3)+1)</x:f>
      </x:c>
      <x:c r="E115" s="1"/>
      <x:c r="F115" s="1"/>
      <x:c r="G115" s="1"/>
      <x:c r="H115" s="1"/>
      <x:c r="I115" s="6"/>
      <x:c r="J115" s="6"/>
      <x:c r="K115" s="6"/>
      <x:c r="L115" s="8" t="str">
        <x:f>IF(I115="","",I115+J115-K115)</x:f>
      </x:c>
      <x:c r="M115" s="1"/>
      <x:c r="N115" s="1"/>
      <x:c r="O115" s="1"/>
      <x:c r="P115" s="1"/>
      <x:c r="Q115" s="7" t="n">
        <x:f>IF(AND(M115="Confirmado",ISNUMBER(I115)),I115,0)</x:f>
        <x:v>0</x:v>
      </x:c>
    </x:row>
    <x:row r="116">
      <x:c r="A116" s="1"/>
      <x:c r="B116" s="5"/>
      <x:c r="C116" s="7" t="str">
        <x:f>IF(B116="","",YEAR(B116))</x:f>
      </x:c>
      <x:c r="D116" s="7" t="str">
        <x:f>IF(B116="","",INT((MONTH(B116)-1)/3)+1)</x:f>
      </x:c>
      <x:c r="E116" s="1"/>
      <x:c r="F116" s="1"/>
      <x:c r="G116" s="1"/>
      <x:c r="H116" s="1"/>
      <x:c r="I116" s="6"/>
      <x:c r="J116" s="6"/>
      <x:c r="K116" s="6"/>
      <x:c r="L116" s="8" t="str">
        <x:f>IF(I116="","",I116+J116-K116)</x:f>
      </x:c>
      <x:c r="M116" s="1"/>
      <x:c r="N116" s="1"/>
      <x:c r="O116" s="1"/>
      <x:c r="P116" s="1"/>
      <x:c r="Q116" s="7" t="n">
        <x:f>IF(AND(M116="Confirmado",ISNUMBER(I116)),I116,0)</x:f>
        <x:v>0</x:v>
      </x:c>
    </x:row>
    <x:row r="117">
      <x:c r="A117" s="1"/>
      <x:c r="B117" s="5"/>
      <x:c r="C117" s="7" t="str">
        <x:f>IF(B117="","",YEAR(B117))</x:f>
      </x:c>
      <x:c r="D117" s="7" t="str">
        <x:f>IF(B117="","",INT((MONTH(B117)-1)/3)+1)</x:f>
      </x:c>
      <x:c r="E117" s="1"/>
      <x:c r="F117" s="1"/>
      <x:c r="G117" s="1"/>
      <x:c r="H117" s="1"/>
      <x:c r="I117" s="6"/>
      <x:c r="J117" s="6"/>
      <x:c r="K117" s="6"/>
      <x:c r="L117" s="8" t="str">
        <x:f>IF(I117="","",I117+J117-K117)</x:f>
      </x:c>
      <x:c r="M117" s="1"/>
      <x:c r="N117" s="1"/>
      <x:c r="O117" s="1"/>
      <x:c r="P117" s="1"/>
      <x:c r="Q117" s="7" t="n">
        <x:f>IF(AND(M117="Confirmado",ISNUMBER(I117)),I117,0)</x:f>
        <x:v>0</x:v>
      </x:c>
    </x:row>
    <x:row r="118">
      <x:c r="A118" s="1"/>
      <x:c r="B118" s="5"/>
      <x:c r="C118" s="7" t="str">
        <x:f>IF(B118="","",YEAR(B118))</x:f>
      </x:c>
      <x:c r="D118" s="7" t="str">
        <x:f>IF(B118="","",INT((MONTH(B118)-1)/3)+1)</x:f>
      </x:c>
      <x:c r="E118" s="1"/>
      <x:c r="F118" s="1"/>
      <x:c r="G118" s="1"/>
      <x:c r="H118" s="1"/>
      <x:c r="I118" s="6"/>
      <x:c r="J118" s="6"/>
      <x:c r="K118" s="6"/>
      <x:c r="L118" s="8" t="str">
        <x:f>IF(I118="","",I118+J118-K118)</x:f>
      </x:c>
      <x:c r="M118" s="1"/>
      <x:c r="N118" s="1"/>
      <x:c r="O118" s="1"/>
      <x:c r="P118" s="1"/>
      <x:c r="Q118" s="7" t="n">
        <x:f>IF(AND(M118="Confirmado",ISNUMBER(I118)),I118,0)</x:f>
        <x:v>0</x:v>
      </x:c>
    </x:row>
    <x:row r="119">
      <x:c r="A119" s="1"/>
      <x:c r="B119" s="5"/>
      <x:c r="C119" s="7" t="str">
        <x:f>IF(B119="","",YEAR(B119))</x:f>
      </x:c>
      <x:c r="D119" s="7" t="str">
        <x:f>IF(B119="","",INT((MONTH(B119)-1)/3)+1)</x:f>
      </x:c>
      <x:c r="E119" s="1"/>
      <x:c r="F119" s="1"/>
      <x:c r="G119" s="1"/>
      <x:c r="H119" s="1"/>
      <x:c r="I119" s="6"/>
      <x:c r="J119" s="6"/>
      <x:c r="K119" s="6"/>
      <x:c r="L119" s="8" t="str">
        <x:f>IF(I119="","",I119+J119-K119)</x:f>
      </x:c>
      <x:c r="M119" s="1"/>
      <x:c r="N119" s="1"/>
      <x:c r="O119" s="1"/>
      <x:c r="P119" s="1"/>
      <x:c r="Q119" s="7" t="n">
        <x:f>IF(AND(M119="Confirmado",ISNUMBER(I119)),I119,0)</x:f>
        <x:v>0</x:v>
      </x:c>
    </x:row>
    <x:row r="120">
      <x:c r="A120" s="1"/>
      <x:c r="B120" s="5"/>
      <x:c r="C120" s="7" t="str">
        <x:f>IF(B120="","",YEAR(B120))</x:f>
      </x:c>
      <x:c r="D120" s="7" t="str">
        <x:f>IF(B120="","",INT((MONTH(B120)-1)/3)+1)</x:f>
      </x:c>
      <x:c r="E120" s="1"/>
      <x:c r="F120" s="1"/>
      <x:c r="G120" s="1"/>
      <x:c r="H120" s="1"/>
      <x:c r="I120" s="6"/>
      <x:c r="J120" s="6"/>
      <x:c r="K120" s="6"/>
      <x:c r="L120" s="8" t="str">
        <x:f>IF(I120="","",I120+J120-K120)</x:f>
      </x:c>
      <x:c r="M120" s="1"/>
      <x:c r="N120" s="1"/>
      <x:c r="O120" s="1"/>
      <x:c r="P120" s="1"/>
      <x:c r="Q120" s="7" t="n">
        <x:f>IF(AND(M120="Confirmado",ISNUMBER(I120)),I120,0)</x:f>
        <x:v>0</x:v>
      </x:c>
    </x:row>
    <x:row r="121">
      <x:c r="A121" s="1"/>
      <x:c r="B121" s="5"/>
      <x:c r="C121" s="7" t="str">
        <x:f>IF(B121="","",YEAR(B121))</x:f>
      </x:c>
      <x:c r="D121" s="7" t="str">
        <x:f>IF(B121="","",INT((MONTH(B121)-1)/3)+1)</x:f>
      </x:c>
      <x:c r="E121" s="1"/>
      <x:c r="F121" s="1"/>
      <x:c r="G121" s="1"/>
      <x:c r="H121" s="1"/>
      <x:c r="I121" s="6"/>
      <x:c r="J121" s="6"/>
      <x:c r="K121" s="6"/>
      <x:c r="L121" s="8" t="str">
        <x:f>IF(I121="","",I121+J121-K121)</x:f>
      </x:c>
      <x:c r="M121" s="1"/>
      <x:c r="N121" s="1"/>
      <x:c r="O121" s="1"/>
      <x:c r="P121" s="1"/>
      <x:c r="Q121" s="7" t="n">
        <x:f>IF(AND(M121="Confirmado",ISNUMBER(I121)),I121,0)</x:f>
        <x:v>0</x:v>
      </x:c>
    </x:row>
    <x:row r="122">
      <x:c r="A122" s="1"/>
      <x:c r="B122" s="5"/>
      <x:c r="C122" s="7" t="str">
        <x:f>IF(B122="","",YEAR(B122))</x:f>
      </x:c>
      <x:c r="D122" s="7" t="str">
        <x:f>IF(B122="","",INT((MONTH(B122)-1)/3)+1)</x:f>
      </x:c>
      <x:c r="E122" s="1"/>
      <x:c r="F122" s="1"/>
      <x:c r="G122" s="1"/>
      <x:c r="H122" s="1"/>
      <x:c r="I122" s="6"/>
      <x:c r="J122" s="6"/>
      <x:c r="K122" s="6"/>
      <x:c r="L122" s="8" t="str">
        <x:f>IF(I122="","",I122+J122-K122)</x:f>
      </x:c>
      <x:c r="M122" s="1"/>
      <x:c r="N122" s="1"/>
      <x:c r="O122" s="1"/>
      <x:c r="P122" s="1"/>
      <x:c r="Q122" s="7" t="n">
        <x:f>IF(AND(M122="Confirmado",ISNUMBER(I122)),I122,0)</x:f>
        <x:v>0</x:v>
      </x:c>
    </x:row>
    <x:row r="123">
      <x:c r="A123" s="1"/>
      <x:c r="B123" s="5"/>
      <x:c r="C123" s="7" t="str">
        <x:f>IF(B123="","",YEAR(B123))</x:f>
      </x:c>
      <x:c r="D123" s="7" t="str">
        <x:f>IF(B123="","",INT((MONTH(B123)-1)/3)+1)</x:f>
      </x:c>
      <x:c r="E123" s="1"/>
      <x:c r="F123" s="1"/>
      <x:c r="G123" s="1"/>
      <x:c r="H123" s="1"/>
      <x:c r="I123" s="6"/>
      <x:c r="J123" s="6"/>
      <x:c r="K123" s="6"/>
      <x:c r="L123" s="8" t="str">
        <x:f>IF(I123="","",I123+J123-K123)</x:f>
      </x:c>
      <x:c r="M123" s="1"/>
      <x:c r="N123" s="1"/>
      <x:c r="O123" s="1"/>
      <x:c r="P123" s="1"/>
      <x:c r="Q123" s="7" t="n">
        <x:f>IF(AND(M123="Confirmado",ISNUMBER(I123)),I123,0)</x:f>
        <x:v>0</x:v>
      </x:c>
    </x:row>
    <x:row r="124">
      <x:c r="A124" s="1"/>
      <x:c r="B124" s="5"/>
      <x:c r="C124" s="7" t="str">
        <x:f>IF(B124="","",YEAR(B124))</x:f>
      </x:c>
      <x:c r="D124" s="7" t="str">
        <x:f>IF(B124="","",INT((MONTH(B124)-1)/3)+1)</x:f>
      </x:c>
      <x:c r="E124" s="1"/>
      <x:c r="F124" s="1"/>
      <x:c r="G124" s="1"/>
      <x:c r="H124" s="1"/>
      <x:c r="I124" s="6"/>
      <x:c r="J124" s="6"/>
      <x:c r="K124" s="6"/>
      <x:c r="L124" s="8" t="str">
        <x:f>IF(I124="","",I124+J124-K124)</x:f>
      </x:c>
      <x:c r="M124" s="1"/>
      <x:c r="N124" s="1"/>
      <x:c r="O124" s="1"/>
      <x:c r="P124" s="1"/>
      <x:c r="Q124" s="7" t="n">
        <x:f>IF(AND(M124="Confirmado",ISNUMBER(I124)),I124,0)</x:f>
        <x:v>0</x:v>
      </x:c>
    </x:row>
    <x:row r="125">
      <x:c r="A125" s="1"/>
      <x:c r="B125" s="5"/>
      <x:c r="C125" s="7" t="str">
        <x:f>IF(B125="","",YEAR(B125))</x:f>
      </x:c>
      <x:c r="D125" s="7" t="str">
        <x:f>IF(B125="","",INT((MONTH(B125)-1)/3)+1)</x:f>
      </x:c>
      <x:c r="E125" s="1"/>
      <x:c r="F125" s="1"/>
      <x:c r="G125" s="1"/>
      <x:c r="H125" s="1"/>
      <x:c r="I125" s="6"/>
      <x:c r="J125" s="6"/>
      <x:c r="K125" s="6"/>
      <x:c r="L125" s="8" t="str">
        <x:f>IF(I125="","",I125+J125-K125)</x:f>
      </x:c>
      <x:c r="M125" s="1"/>
      <x:c r="N125" s="1"/>
      <x:c r="O125" s="1"/>
      <x:c r="P125" s="1"/>
      <x:c r="Q125" s="7" t="n">
        <x:f>IF(AND(M125="Confirmado",ISNUMBER(I125)),I125,0)</x:f>
        <x:v>0</x:v>
      </x:c>
    </x:row>
    <x:row r="126">
      <x:c r="A126" s="1"/>
      <x:c r="B126" s="5"/>
      <x:c r="C126" s="7" t="str">
        <x:f>IF(B126="","",YEAR(B126))</x:f>
      </x:c>
      <x:c r="D126" s="7" t="str">
        <x:f>IF(B126="","",INT((MONTH(B126)-1)/3)+1)</x:f>
      </x:c>
      <x:c r="E126" s="1"/>
      <x:c r="F126" s="1"/>
      <x:c r="G126" s="1"/>
      <x:c r="H126" s="1"/>
      <x:c r="I126" s="6"/>
      <x:c r="J126" s="6"/>
      <x:c r="K126" s="6"/>
      <x:c r="L126" s="8" t="str">
        <x:f>IF(I126="","",I126+J126-K126)</x:f>
      </x:c>
      <x:c r="M126" s="1"/>
      <x:c r="N126" s="1"/>
      <x:c r="O126" s="1"/>
      <x:c r="P126" s="1"/>
      <x:c r="Q126" s="7" t="n">
        <x:f>IF(AND(M126="Confirmado",ISNUMBER(I126)),I126,0)</x:f>
        <x:v>0</x:v>
      </x:c>
    </x:row>
    <x:row r="127">
      <x:c r="A127" s="1"/>
      <x:c r="B127" s="5"/>
      <x:c r="C127" s="7" t="str">
        <x:f>IF(B127="","",YEAR(B127))</x:f>
      </x:c>
      <x:c r="D127" s="7" t="str">
        <x:f>IF(B127="","",INT((MONTH(B127)-1)/3)+1)</x:f>
      </x:c>
      <x:c r="E127" s="1"/>
      <x:c r="F127" s="1"/>
      <x:c r="G127" s="1"/>
      <x:c r="H127" s="1"/>
      <x:c r="I127" s="6"/>
      <x:c r="J127" s="6"/>
      <x:c r="K127" s="6"/>
      <x:c r="L127" s="8" t="str">
        <x:f>IF(I127="","",I127+J127-K127)</x:f>
      </x:c>
      <x:c r="M127" s="1"/>
      <x:c r="N127" s="1"/>
      <x:c r="O127" s="1"/>
      <x:c r="P127" s="1"/>
      <x:c r="Q127" s="7" t="n">
        <x:f>IF(AND(M127="Confirmado",ISNUMBER(I127)),I127,0)</x:f>
        <x:v>0</x:v>
      </x:c>
    </x:row>
    <x:row r="128">
      <x:c r="A128" s="1"/>
      <x:c r="B128" s="5"/>
      <x:c r="C128" s="7" t="str">
        <x:f>IF(B128="","",YEAR(B128))</x:f>
      </x:c>
      <x:c r="D128" s="7" t="str">
        <x:f>IF(B128="","",INT((MONTH(B128)-1)/3)+1)</x:f>
      </x:c>
      <x:c r="E128" s="1"/>
      <x:c r="F128" s="1"/>
      <x:c r="G128" s="1"/>
      <x:c r="H128" s="1"/>
      <x:c r="I128" s="6"/>
      <x:c r="J128" s="6"/>
      <x:c r="K128" s="6"/>
      <x:c r="L128" s="8" t="str">
        <x:f>IF(I128="","",I128+J128-K128)</x:f>
      </x:c>
      <x:c r="M128" s="1"/>
      <x:c r="N128" s="1"/>
      <x:c r="O128" s="1"/>
      <x:c r="P128" s="1"/>
      <x:c r="Q128" s="7" t="n">
        <x:f>IF(AND(M128="Confirmado",ISNUMBER(I128)),I128,0)</x:f>
        <x:v>0</x:v>
      </x:c>
    </x:row>
    <x:row r="129">
      <x:c r="A129" s="1"/>
      <x:c r="B129" s="5"/>
      <x:c r="C129" s="7" t="str">
        <x:f>IF(B129="","",YEAR(B129))</x:f>
      </x:c>
      <x:c r="D129" s="7" t="str">
        <x:f>IF(B129="","",INT((MONTH(B129)-1)/3)+1)</x:f>
      </x:c>
      <x:c r="E129" s="1"/>
      <x:c r="F129" s="1"/>
      <x:c r="G129" s="1"/>
      <x:c r="H129" s="1"/>
      <x:c r="I129" s="6"/>
      <x:c r="J129" s="6"/>
      <x:c r="K129" s="6"/>
      <x:c r="L129" s="8" t="str">
        <x:f>IF(I129="","",I129+J129-K129)</x:f>
      </x:c>
      <x:c r="M129" s="1"/>
      <x:c r="N129" s="1"/>
      <x:c r="O129" s="1"/>
      <x:c r="P129" s="1"/>
      <x:c r="Q129" s="7" t="n">
        <x:f>IF(AND(M129="Confirmado",ISNUMBER(I129)),I129,0)</x:f>
        <x:v>0</x:v>
      </x:c>
    </x:row>
    <x:row r="130">
      <x:c r="A130" s="1"/>
      <x:c r="B130" s="5"/>
      <x:c r="C130" s="7" t="str">
        <x:f>IF(B130="","",YEAR(B130))</x:f>
      </x:c>
      <x:c r="D130" s="7" t="str">
        <x:f>IF(B130="","",INT((MONTH(B130)-1)/3)+1)</x:f>
      </x:c>
      <x:c r="E130" s="1"/>
      <x:c r="F130" s="1"/>
      <x:c r="G130" s="1"/>
      <x:c r="H130" s="1"/>
      <x:c r="I130" s="6"/>
      <x:c r="J130" s="6"/>
      <x:c r="K130" s="6"/>
      <x:c r="L130" s="8" t="str">
        <x:f>IF(I130="","",I130+J130-K130)</x:f>
      </x:c>
      <x:c r="M130" s="1"/>
      <x:c r="N130" s="1"/>
      <x:c r="O130" s="1"/>
      <x:c r="P130" s="1"/>
      <x:c r="Q130" s="7" t="n">
        <x:f>IF(AND(M130="Confirmado",ISNUMBER(I130)),I130,0)</x:f>
        <x:v>0</x:v>
      </x:c>
    </x:row>
    <x:row r="131">
      <x:c r="A131" s="1"/>
      <x:c r="B131" s="5"/>
      <x:c r="C131" s="7" t="str">
        <x:f>IF(B131="","",YEAR(B131))</x:f>
      </x:c>
      <x:c r="D131" s="7" t="str">
        <x:f>IF(B131="","",INT((MONTH(B131)-1)/3)+1)</x:f>
      </x:c>
      <x:c r="E131" s="1"/>
      <x:c r="F131" s="1"/>
      <x:c r="G131" s="1"/>
      <x:c r="H131" s="1"/>
      <x:c r="I131" s="6"/>
      <x:c r="J131" s="6"/>
      <x:c r="K131" s="6"/>
      <x:c r="L131" s="8" t="str">
        <x:f>IF(I131="","",I131+J131-K131)</x:f>
      </x:c>
      <x:c r="M131" s="1"/>
      <x:c r="N131" s="1"/>
      <x:c r="O131" s="1"/>
      <x:c r="P131" s="1"/>
      <x:c r="Q131" s="7" t="n">
        <x:f>IF(AND(M131="Confirmado",ISNUMBER(I131)),I131,0)</x:f>
        <x:v>0</x:v>
      </x:c>
    </x:row>
    <x:row r="132">
      <x:c r="A132" s="1"/>
      <x:c r="B132" s="5"/>
      <x:c r="C132" s="7" t="str">
        <x:f>IF(B132="","",YEAR(B132))</x:f>
      </x:c>
      <x:c r="D132" s="7" t="str">
        <x:f>IF(B132="","",INT((MONTH(B132)-1)/3)+1)</x:f>
      </x:c>
      <x:c r="E132" s="1"/>
      <x:c r="F132" s="1"/>
      <x:c r="G132" s="1"/>
      <x:c r="H132" s="1"/>
      <x:c r="I132" s="6"/>
      <x:c r="J132" s="6"/>
      <x:c r="K132" s="6"/>
      <x:c r="L132" s="8" t="str">
        <x:f>IF(I132="","",I132+J132-K132)</x:f>
      </x:c>
      <x:c r="M132" s="1"/>
      <x:c r="N132" s="1"/>
      <x:c r="O132" s="1"/>
      <x:c r="P132" s="1"/>
      <x:c r="Q132" s="7" t="n">
        <x:f>IF(AND(M132="Confirmado",ISNUMBER(I132)),I132,0)</x:f>
        <x:v>0</x:v>
      </x:c>
    </x:row>
    <x:row r="133">
      <x:c r="A133" s="1"/>
      <x:c r="B133" s="5"/>
      <x:c r="C133" s="7" t="str">
        <x:f>IF(B133="","",YEAR(B133))</x:f>
      </x:c>
      <x:c r="D133" s="7" t="str">
        <x:f>IF(B133="","",INT((MONTH(B133)-1)/3)+1)</x:f>
      </x:c>
      <x:c r="E133" s="1"/>
      <x:c r="F133" s="1"/>
      <x:c r="G133" s="1"/>
      <x:c r="H133" s="1"/>
      <x:c r="I133" s="6"/>
      <x:c r="J133" s="6"/>
      <x:c r="K133" s="6"/>
      <x:c r="L133" s="8" t="str">
        <x:f>IF(I133="","",I133+J133-K133)</x:f>
      </x:c>
      <x:c r="M133" s="1"/>
      <x:c r="N133" s="1"/>
      <x:c r="O133" s="1"/>
      <x:c r="P133" s="1"/>
      <x:c r="Q133" s="7" t="n">
        <x:f>IF(AND(M133="Confirmado",ISNUMBER(I133)),I133,0)</x:f>
        <x:v>0</x:v>
      </x:c>
    </x:row>
    <x:row r="134">
      <x:c r="A134" s="1"/>
      <x:c r="B134" s="5"/>
      <x:c r="C134" s="7" t="str">
        <x:f>IF(B134="","",YEAR(B134))</x:f>
      </x:c>
      <x:c r="D134" s="7" t="str">
        <x:f>IF(B134="","",INT((MONTH(B134)-1)/3)+1)</x:f>
      </x:c>
      <x:c r="E134" s="1"/>
      <x:c r="F134" s="1"/>
      <x:c r="G134" s="1"/>
      <x:c r="H134" s="1"/>
      <x:c r="I134" s="6"/>
      <x:c r="J134" s="6"/>
      <x:c r="K134" s="6"/>
      <x:c r="L134" s="8" t="str">
        <x:f>IF(I134="","",I134+J134-K134)</x:f>
      </x:c>
      <x:c r="M134" s="1"/>
      <x:c r="N134" s="1"/>
      <x:c r="O134" s="1"/>
      <x:c r="P134" s="1"/>
      <x:c r="Q134" s="7" t="n">
        <x:f>IF(AND(M134="Confirmado",ISNUMBER(I134)),I134,0)</x:f>
        <x:v>0</x:v>
      </x:c>
    </x:row>
    <x:row r="135">
      <x:c r="A135" s="1"/>
      <x:c r="B135" s="5"/>
      <x:c r="C135" s="7" t="str">
        <x:f>IF(B135="","",YEAR(B135))</x:f>
      </x:c>
      <x:c r="D135" s="7" t="str">
        <x:f>IF(B135="","",INT((MONTH(B135)-1)/3)+1)</x:f>
      </x:c>
      <x:c r="E135" s="1"/>
      <x:c r="F135" s="1"/>
      <x:c r="G135" s="1"/>
      <x:c r="H135" s="1"/>
      <x:c r="I135" s="6"/>
      <x:c r="J135" s="6"/>
      <x:c r="K135" s="6"/>
      <x:c r="L135" s="8" t="str">
        <x:f>IF(I135="","",I135+J135-K135)</x:f>
      </x:c>
      <x:c r="M135" s="1"/>
      <x:c r="N135" s="1"/>
      <x:c r="O135" s="1"/>
      <x:c r="P135" s="1"/>
      <x:c r="Q135" s="7" t="n">
        <x:f>IF(AND(M135="Confirmado",ISNUMBER(I135)),I135,0)</x:f>
        <x:v>0</x:v>
      </x:c>
    </x:row>
    <x:row r="136">
      <x:c r="A136" s="1"/>
      <x:c r="B136" s="5"/>
      <x:c r="C136" s="7" t="str">
        <x:f>IF(B136="","",YEAR(B136))</x:f>
      </x:c>
      <x:c r="D136" s="7" t="str">
        <x:f>IF(B136="","",INT((MONTH(B136)-1)/3)+1)</x:f>
      </x:c>
      <x:c r="E136" s="1"/>
      <x:c r="F136" s="1"/>
      <x:c r="G136" s="1"/>
      <x:c r="H136" s="1"/>
      <x:c r="I136" s="6"/>
      <x:c r="J136" s="6"/>
      <x:c r="K136" s="6"/>
      <x:c r="L136" s="8" t="str">
        <x:f>IF(I136="","",I136+J136-K136)</x:f>
      </x:c>
      <x:c r="M136" s="1"/>
      <x:c r="N136" s="1"/>
      <x:c r="O136" s="1"/>
      <x:c r="P136" s="1"/>
      <x:c r="Q136" s="7" t="n">
        <x:f>IF(AND(M136="Confirmado",ISNUMBER(I136)),I136,0)</x:f>
        <x:v>0</x:v>
      </x:c>
    </x:row>
    <x:row r="137">
      <x:c r="A137" s="1"/>
      <x:c r="B137" s="5"/>
      <x:c r="C137" s="7" t="str">
        <x:f>IF(B137="","",YEAR(B137))</x:f>
      </x:c>
      <x:c r="D137" s="7" t="str">
        <x:f>IF(B137="","",INT((MONTH(B137)-1)/3)+1)</x:f>
      </x:c>
      <x:c r="E137" s="1"/>
      <x:c r="F137" s="1"/>
      <x:c r="G137" s="1"/>
      <x:c r="H137" s="1"/>
      <x:c r="I137" s="6"/>
      <x:c r="J137" s="6"/>
      <x:c r="K137" s="6"/>
      <x:c r="L137" s="8" t="str">
        <x:f>IF(I137="","",I137+J137-K137)</x:f>
      </x:c>
      <x:c r="M137" s="1"/>
      <x:c r="N137" s="1"/>
      <x:c r="O137" s="1"/>
      <x:c r="P137" s="1"/>
      <x:c r="Q137" s="7" t="n">
        <x:f>IF(AND(M137="Confirmado",ISNUMBER(I137)),I137,0)</x:f>
        <x:v>0</x:v>
      </x:c>
    </x:row>
    <x:row r="138">
      <x:c r="A138" s="1"/>
      <x:c r="B138" s="5"/>
      <x:c r="C138" s="7" t="str">
        <x:f>IF(B138="","",YEAR(B138))</x:f>
      </x:c>
      <x:c r="D138" s="7" t="str">
        <x:f>IF(B138="","",INT((MONTH(B138)-1)/3)+1)</x:f>
      </x:c>
      <x:c r="E138" s="1"/>
      <x:c r="F138" s="1"/>
      <x:c r="G138" s="1"/>
      <x:c r="H138" s="1"/>
      <x:c r="I138" s="6"/>
      <x:c r="J138" s="6"/>
      <x:c r="K138" s="6"/>
      <x:c r="L138" s="8" t="str">
        <x:f>IF(I138="","",I138+J138-K138)</x:f>
      </x:c>
      <x:c r="M138" s="1"/>
      <x:c r="N138" s="1"/>
      <x:c r="O138" s="1"/>
      <x:c r="P138" s="1"/>
      <x:c r="Q138" s="7" t="n">
        <x:f>IF(AND(M138="Confirmado",ISNUMBER(I138)),I138,0)</x:f>
        <x:v>0</x:v>
      </x:c>
    </x:row>
    <x:row r="139">
      <x:c r="A139" s="1"/>
      <x:c r="B139" s="5"/>
      <x:c r="C139" s="7" t="str">
        <x:f>IF(B139="","",YEAR(B139))</x:f>
      </x:c>
      <x:c r="D139" s="7" t="str">
        <x:f>IF(B139="","",INT((MONTH(B139)-1)/3)+1)</x:f>
      </x:c>
      <x:c r="E139" s="1"/>
      <x:c r="F139" s="1"/>
      <x:c r="G139" s="1"/>
      <x:c r="H139" s="1"/>
      <x:c r="I139" s="6"/>
      <x:c r="J139" s="6"/>
      <x:c r="K139" s="6"/>
      <x:c r="L139" s="8" t="str">
        <x:f>IF(I139="","",I139+J139-K139)</x:f>
      </x:c>
      <x:c r="M139" s="1"/>
      <x:c r="N139" s="1"/>
      <x:c r="O139" s="1"/>
      <x:c r="P139" s="1"/>
      <x:c r="Q139" s="7" t="n">
        <x:f>IF(AND(M139="Confirmado",ISNUMBER(I139)),I139,0)</x:f>
        <x:v>0</x:v>
      </x:c>
    </x:row>
    <x:row r="140">
      <x:c r="A140" s="1"/>
      <x:c r="B140" s="5"/>
      <x:c r="C140" s="7" t="str">
        <x:f>IF(B140="","",YEAR(B140))</x:f>
      </x:c>
      <x:c r="D140" s="7" t="str">
        <x:f>IF(B140="","",INT((MONTH(B140)-1)/3)+1)</x:f>
      </x:c>
      <x:c r="E140" s="1"/>
      <x:c r="F140" s="1"/>
      <x:c r="G140" s="1"/>
      <x:c r="H140" s="1"/>
      <x:c r="I140" s="6"/>
      <x:c r="J140" s="6"/>
      <x:c r="K140" s="6"/>
      <x:c r="L140" s="8" t="str">
        <x:f>IF(I140="","",I140+J140-K140)</x:f>
      </x:c>
      <x:c r="M140" s="1"/>
      <x:c r="N140" s="1"/>
      <x:c r="O140" s="1"/>
      <x:c r="P140" s="1"/>
      <x:c r="Q140" s="7" t="n">
        <x:f>IF(AND(M140="Confirmado",ISNUMBER(I140)),I140,0)</x:f>
        <x:v>0</x:v>
      </x:c>
    </x:row>
    <x:row r="141">
      <x:c r="A141" s="1"/>
      <x:c r="B141" s="5"/>
      <x:c r="C141" s="7" t="str">
        <x:f>IF(B141="","",YEAR(B141))</x:f>
      </x:c>
      <x:c r="D141" s="7" t="str">
        <x:f>IF(B141="","",INT((MONTH(B141)-1)/3)+1)</x:f>
      </x:c>
      <x:c r="E141" s="1"/>
      <x:c r="F141" s="1"/>
      <x:c r="G141" s="1"/>
      <x:c r="H141" s="1"/>
      <x:c r="I141" s="6"/>
      <x:c r="J141" s="6"/>
      <x:c r="K141" s="6"/>
      <x:c r="L141" s="8" t="str">
        <x:f>IF(I141="","",I141+J141-K141)</x:f>
      </x:c>
      <x:c r="M141" s="1"/>
      <x:c r="N141" s="1"/>
      <x:c r="O141" s="1"/>
      <x:c r="P141" s="1"/>
      <x:c r="Q141" s="7" t="n">
        <x:f>IF(AND(M141="Confirmado",ISNUMBER(I141)),I141,0)</x:f>
        <x:v>0</x:v>
      </x:c>
    </x:row>
    <x:row r="142">
      <x:c r="A142" s="1"/>
      <x:c r="B142" s="5"/>
      <x:c r="C142" s="7" t="str">
        <x:f>IF(B142="","",YEAR(B142))</x:f>
      </x:c>
      <x:c r="D142" s="7" t="str">
        <x:f>IF(B142="","",INT((MONTH(B142)-1)/3)+1)</x:f>
      </x:c>
      <x:c r="E142" s="1"/>
      <x:c r="F142" s="1"/>
      <x:c r="G142" s="1"/>
      <x:c r="H142" s="1"/>
      <x:c r="I142" s="6"/>
      <x:c r="J142" s="6"/>
      <x:c r="K142" s="6"/>
      <x:c r="L142" s="8" t="str">
        <x:f>IF(I142="","",I142+J142-K142)</x:f>
      </x:c>
      <x:c r="M142" s="1"/>
      <x:c r="N142" s="1"/>
      <x:c r="O142" s="1"/>
      <x:c r="P142" s="1"/>
      <x:c r="Q142" s="7" t="n">
        <x:f>IF(AND(M142="Confirmado",ISNUMBER(I142)),I142,0)</x:f>
        <x:v>0</x:v>
      </x:c>
    </x:row>
    <x:row r="143">
      <x:c r="A143" s="1"/>
      <x:c r="B143" s="5"/>
      <x:c r="C143" s="7" t="str">
        <x:f>IF(B143="","",YEAR(B143))</x:f>
      </x:c>
      <x:c r="D143" s="7" t="str">
        <x:f>IF(B143="","",INT((MONTH(B143)-1)/3)+1)</x:f>
      </x:c>
      <x:c r="E143" s="1"/>
      <x:c r="F143" s="1"/>
      <x:c r="G143" s="1"/>
      <x:c r="H143" s="1"/>
      <x:c r="I143" s="6"/>
      <x:c r="J143" s="6"/>
      <x:c r="K143" s="6"/>
      <x:c r="L143" s="8" t="str">
        <x:f>IF(I143="","",I143+J143-K143)</x:f>
      </x:c>
      <x:c r="M143" s="1"/>
      <x:c r="N143" s="1"/>
      <x:c r="O143" s="1"/>
      <x:c r="P143" s="1"/>
      <x:c r="Q143" s="7" t="n">
        <x:f>IF(AND(M143="Confirmado",ISNUMBER(I143)),I143,0)</x:f>
        <x:v>0</x:v>
      </x:c>
    </x:row>
    <x:row r="144">
      <x:c r="A144" s="1"/>
      <x:c r="B144" s="5"/>
      <x:c r="C144" s="7" t="str">
        <x:f>IF(B144="","",YEAR(B144))</x:f>
      </x:c>
      <x:c r="D144" s="7" t="str">
        <x:f>IF(B144="","",INT((MONTH(B144)-1)/3)+1)</x:f>
      </x:c>
      <x:c r="E144" s="1"/>
      <x:c r="F144" s="1"/>
      <x:c r="G144" s="1"/>
      <x:c r="H144" s="1"/>
      <x:c r="I144" s="6"/>
      <x:c r="J144" s="6"/>
      <x:c r="K144" s="6"/>
      <x:c r="L144" s="8" t="str">
        <x:f>IF(I144="","",I144+J144-K144)</x:f>
      </x:c>
      <x:c r="M144" s="1"/>
      <x:c r="N144" s="1"/>
      <x:c r="O144" s="1"/>
      <x:c r="P144" s="1"/>
      <x:c r="Q144" s="7" t="n">
        <x:f>IF(AND(M144="Confirmado",ISNUMBER(I144)),I144,0)</x:f>
        <x:v>0</x:v>
      </x:c>
    </x:row>
    <x:row r="145">
      <x:c r="A145" s="1"/>
      <x:c r="B145" s="5"/>
      <x:c r="C145" s="7" t="str">
        <x:f>IF(B145="","",YEAR(B145))</x:f>
      </x:c>
      <x:c r="D145" s="7" t="str">
        <x:f>IF(B145="","",INT((MONTH(B145)-1)/3)+1)</x:f>
      </x:c>
      <x:c r="E145" s="1"/>
      <x:c r="F145" s="1"/>
      <x:c r="G145" s="1"/>
      <x:c r="H145" s="1"/>
      <x:c r="I145" s="6"/>
      <x:c r="J145" s="6"/>
      <x:c r="K145" s="6"/>
      <x:c r="L145" s="8" t="str">
        <x:f>IF(I145="","",I145+J145-K145)</x:f>
      </x:c>
      <x:c r="M145" s="1"/>
      <x:c r="N145" s="1"/>
      <x:c r="O145" s="1"/>
      <x:c r="P145" s="1"/>
      <x:c r="Q145" s="7" t="n">
        <x:f>IF(AND(M145="Confirmado",ISNUMBER(I145)),I145,0)</x:f>
        <x:v>0</x:v>
      </x:c>
    </x:row>
    <x:row r="146">
      <x:c r="A146" s="1"/>
      <x:c r="B146" s="5"/>
      <x:c r="C146" s="7" t="str">
        <x:f>IF(B146="","",YEAR(B146))</x:f>
      </x:c>
      <x:c r="D146" s="7" t="str">
        <x:f>IF(B146="","",INT((MONTH(B146)-1)/3)+1)</x:f>
      </x:c>
      <x:c r="E146" s="1"/>
      <x:c r="F146" s="1"/>
      <x:c r="G146" s="1"/>
      <x:c r="H146" s="1"/>
      <x:c r="I146" s="6"/>
      <x:c r="J146" s="6"/>
      <x:c r="K146" s="6"/>
      <x:c r="L146" s="8" t="str">
        <x:f>IF(I146="","",I146+J146-K146)</x:f>
      </x:c>
      <x:c r="M146" s="1"/>
      <x:c r="N146" s="1"/>
      <x:c r="O146" s="1"/>
      <x:c r="P146" s="1"/>
      <x:c r="Q146" s="7" t="n">
        <x:f>IF(AND(M146="Confirmado",ISNUMBER(I146)),I146,0)</x:f>
        <x:v>0</x:v>
      </x:c>
    </x:row>
    <x:row r="147">
      <x:c r="A147" s="1"/>
      <x:c r="B147" s="5"/>
      <x:c r="C147" s="7" t="str">
        <x:f>IF(B147="","",YEAR(B147))</x:f>
      </x:c>
      <x:c r="D147" s="7" t="str">
        <x:f>IF(B147="","",INT((MONTH(B147)-1)/3)+1)</x:f>
      </x:c>
      <x:c r="E147" s="1"/>
      <x:c r="F147" s="1"/>
      <x:c r="G147" s="1"/>
      <x:c r="H147" s="1"/>
      <x:c r="I147" s="6"/>
      <x:c r="J147" s="6"/>
      <x:c r="K147" s="6"/>
      <x:c r="L147" s="8" t="str">
        <x:f>IF(I147="","",I147+J147-K147)</x:f>
      </x:c>
      <x:c r="M147" s="1"/>
      <x:c r="N147" s="1"/>
      <x:c r="O147" s="1"/>
      <x:c r="P147" s="1"/>
      <x:c r="Q147" s="7" t="n">
        <x:f>IF(AND(M147="Confirmado",ISNUMBER(I147)),I147,0)</x:f>
        <x:v>0</x:v>
      </x:c>
    </x:row>
    <x:row r="148">
      <x:c r="A148" s="1"/>
      <x:c r="B148" s="5"/>
      <x:c r="C148" s="7" t="str">
        <x:f>IF(B148="","",YEAR(B148))</x:f>
      </x:c>
      <x:c r="D148" s="7" t="str">
        <x:f>IF(B148="","",INT((MONTH(B148)-1)/3)+1)</x:f>
      </x:c>
      <x:c r="E148" s="1"/>
      <x:c r="F148" s="1"/>
      <x:c r="G148" s="1"/>
      <x:c r="H148" s="1"/>
      <x:c r="I148" s="6"/>
      <x:c r="J148" s="6"/>
      <x:c r="K148" s="6"/>
      <x:c r="L148" s="8" t="str">
        <x:f>IF(I148="","",I148+J148-K148)</x:f>
      </x:c>
      <x:c r="M148" s="1"/>
      <x:c r="N148" s="1"/>
      <x:c r="O148" s="1"/>
      <x:c r="P148" s="1"/>
      <x:c r="Q148" s="7" t="n">
        <x:f>IF(AND(M148="Confirmado",ISNUMBER(I148)),I148,0)</x:f>
        <x:v>0</x:v>
      </x:c>
    </x:row>
    <x:row r="149">
      <x:c r="A149" s="1"/>
      <x:c r="B149" s="5"/>
      <x:c r="C149" s="7" t="str">
        <x:f>IF(B149="","",YEAR(B149))</x:f>
      </x:c>
      <x:c r="D149" s="7" t="str">
        <x:f>IF(B149="","",INT((MONTH(B149)-1)/3)+1)</x:f>
      </x:c>
      <x:c r="E149" s="1"/>
      <x:c r="F149" s="1"/>
      <x:c r="G149" s="1"/>
      <x:c r="H149" s="1"/>
      <x:c r="I149" s="6"/>
      <x:c r="J149" s="6"/>
      <x:c r="K149" s="6"/>
      <x:c r="L149" s="8" t="str">
        <x:f>IF(I149="","",I149+J149-K149)</x:f>
      </x:c>
      <x:c r="M149" s="1"/>
      <x:c r="N149" s="1"/>
      <x:c r="O149" s="1"/>
      <x:c r="P149" s="1"/>
      <x:c r="Q149" s="7" t="n">
        <x:f>IF(AND(M149="Confirmado",ISNUMBER(I149)),I149,0)</x:f>
        <x:v>0</x:v>
      </x:c>
    </x:row>
    <x:row r="150">
      <x:c r="A150" s="1"/>
      <x:c r="B150" s="5"/>
      <x:c r="C150" s="7" t="str">
        <x:f>IF(B150="","",YEAR(B150))</x:f>
      </x:c>
      <x:c r="D150" s="7" t="str">
        <x:f>IF(B150="","",INT((MONTH(B150)-1)/3)+1)</x:f>
      </x:c>
      <x:c r="E150" s="1"/>
      <x:c r="F150" s="1"/>
      <x:c r="G150" s="1"/>
      <x:c r="H150" s="1"/>
      <x:c r="I150" s="6"/>
      <x:c r="J150" s="6"/>
      <x:c r="K150" s="6"/>
      <x:c r="L150" s="8" t="str">
        <x:f>IF(I150="","",I150+J150-K150)</x:f>
      </x:c>
      <x:c r="M150" s="1"/>
      <x:c r="N150" s="1"/>
      <x:c r="O150" s="1"/>
      <x:c r="P150" s="1"/>
      <x:c r="Q150" s="7" t="n">
        <x:f>IF(AND(M150="Confirmado",ISNUMBER(I150)),I150,0)</x:f>
        <x:v>0</x:v>
      </x:c>
    </x:row>
    <x:row r="151">
      <x:c r="A151" s="1"/>
      <x:c r="B151" s="5"/>
      <x:c r="C151" s="7" t="str">
        <x:f>IF(B151="","",YEAR(B151))</x:f>
      </x:c>
      <x:c r="D151" s="7" t="str">
        <x:f>IF(B151="","",INT((MONTH(B151)-1)/3)+1)</x:f>
      </x:c>
      <x:c r="E151" s="1"/>
      <x:c r="F151" s="1"/>
      <x:c r="G151" s="1"/>
      <x:c r="H151" s="1"/>
      <x:c r="I151" s="6"/>
      <x:c r="J151" s="6"/>
      <x:c r="K151" s="6"/>
      <x:c r="L151" s="8" t="str">
        <x:f>IF(I151="","",I151+J151-K151)</x:f>
      </x:c>
      <x:c r="M151" s="1"/>
      <x:c r="N151" s="1"/>
      <x:c r="O151" s="1"/>
      <x:c r="P151" s="1"/>
      <x:c r="Q151" s="7" t="n">
        <x:f>IF(AND(M151="Confirmado",ISNUMBER(I151)),I151,0)</x:f>
        <x:v>0</x:v>
      </x:c>
    </x:row>
    <x:row r="152">
      <x:c r="A152" s="1"/>
      <x:c r="B152" s="5"/>
      <x:c r="C152" s="7" t="str">
        <x:f>IF(B152="","",YEAR(B152))</x:f>
      </x:c>
      <x:c r="D152" s="7" t="str">
        <x:f>IF(B152="","",INT((MONTH(B152)-1)/3)+1)</x:f>
      </x:c>
      <x:c r="E152" s="1"/>
      <x:c r="F152" s="1"/>
      <x:c r="G152" s="1"/>
      <x:c r="H152" s="1"/>
      <x:c r="I152" s="6"/>
      <x:c r="J152" s="6"/>
      <x:c r="K152" s="6"/>
      <x:c r="L152" s="8" t="str">
        <x:f>IF(I152="","",I152+J152-K152)</x:f>
      </x:c>
      <x:c r="M152" s="1"/>
      <x:c r="N152" s="1"/>
      <x:c r="O152" s="1"/>
      <x:c r="P152" s="1"/>
      <x:c r="Q152" s="7" t="n">
        <x:f>IF(AND(M152="Confirmado",ISNUMBER(I152)),I152,0)</x:f>
        <x:v>0</x:v>
      </x:c>
    </x:row>
    <x:row r="153">
      <x:c r="A153" s="1"/>
      <x:c r="B153" s="5"/>
      <x:c r="C153" s="7" t="str">
        <x:f>IF(B153="","",YEAR(B153))</x:f>
      </x:c>
      <x:c r="D153" s="7" t="str">
        <x:f>IF(B153="","",INT((MONTH(B153)-1)/3)+1)</x:f>
      </x:c>
      <x:c r="E153" s="1"/>
      <x:c r="F153" s="1"/>
      <x:c r="G153" s="1"/>
      <x:c r="H153" s="1"/>
      <x:c r="I153" s="6"/>
      <x:c r="J153" s="6"/>
      <x:c r="K153" s="6"/>
      <x:c r="L153" s="8" t="str">
        <x:f>IF(I153="","",I153+J153-K153)</x:f>
      </x:c>
      <x:c r="M153" s="1"/>
      <x:c r="N153" s="1"/>
      <x:c r="O153" s="1"/>
      <x:c r="P153" s="1"/>
      <x:c r="Q153" s="7" t="n">
        <x:f>IF(AND(M153="Confirmado",ISNUMBER(I153)),I153,0)</x:f>
        <x:v>0</x:v>
      </x:c>
    </x:row>
    <x:row r="154">
      <x:c r="A154" s="1"/>
      <x:c r="B154" s="5"/>
      <x:c r="C154" s="7" t="str">
        <x:f>IF(B154="","",YEAR(B154))</x:f>
      </x:c>
      <x:c r="D154" s="7" t="str">
        <x:f>IF(B154="","",INT((MONTH(B154)-1)/3)+1)</x:f>
      </x:c>
      <x:c r="E154" s="1"/>
      <x:c r="F154" s="1"/>
      <x:c r="G154" s="1"/>
      <x:c r="H154" s="1"/>
      <x:c r="I154" s="6"/>
      <x:c r="J154" s="6"/>
      <x:c r="K154" s="6"/>
      <x:c r="L154" s="8" t="str">
        <x:f>IF(I154="","",I154+J154-K154)</x:f>
      </x:c>
      <x:c r="M154" s="1"/>
      <x:c r="N154" s="1"/>
      <x:c r="O154" s="1"/>
      <x:c r="P154" s="1"/>
      <x:c r="Q154" s="7" t="n">
        <x:f>IF(AND(M154="Confirmado",ISNUMBER(I154)),I154,0)</x:f>
        <x:v>0</x:v>
      </x:c>
    </x:row>
    <x:row r="155">
      <x:c r="A155" s="1"/>
      <x:c r="B155" s="5"/>
      <x:c r="C155" s="7" t="str">
        <x:f>IF(B155="","",YEAR(B155))</x:f>
      </x:c>
      <x:c r="D155" s="7" t="str">
        <x:f>IF(B155="","",INT((MONTH(B155)-1)/3)+1)</x:f>
      </x:c>
      <x:c r="E155" s="1"/>
      <x:c r="F155" s="1"/>
      <x:c r="G155" s="1"/>
      <x:c r="H155" s="1"/>
      <x:c r="I155" s="6"/>
      <x:c r="J155" s="6"/>
      <x:c r="K155" s="6"/>
      <x:c r="L155" s="8" t="str">
        <x:f>IF(I155="","",I155+J155-K155)</x:f>
      </x:c>
      <x:c r="M155" s="1"/>
      <x:c r="N155" s="1"/>
      <x:c r="O155" s="1"/>
      <x:c r="P155" s="1"/>
      <x:c r="Q155" s="7" t="n">
        <x:f>IF(AND(M155="Confirmado",ISNUMBER(I155)),I155,0)</x:f>
        <x:v>0</x:v>
      </x:c>
    </x:row>
    <x:row r="156">
      <x:c r="A156" s="1"/>
      <x:c r="B156" s="5"/>
      <x:c r="C156" s="7" t="str">
        <x:f>IF(B156="","",YEAR(B156))</x:f>
      </x:c>
      <x:c r="D156" s="7" t="str">
        <x:f>IF(B156="","",INT((MONTH(B156)-1)/3)+1)</x:f>
      </x:c>
      <x:c r="E156" s="1"/>
      <x:c r="F156" s="1"/>
      <x:c r="G156" s="1"/>
      <x:c r="H156" s="1"/>
      <x:c r="I156" s="6"/>
      <x:c r="J156" s="6"/>
      <x:c r="K156" s="6"/>
      <x:c r="L156" s="8" t="str">
        <x:f>IF(I156="","",I156+J156-K156)</x:f>
      </x:c>
      <x:c r="M156" s="1"/>
      <x:c r="N156" s="1"/>
      <x:c r="O156" s="1"/>
      <x:c r="P156" s="1"/>
      <x:c r="Q156" s="7" t="n">
        <x:f>IF(AND(M156="Confirmado",ISNUMBER(I156)),I156,0)</x:f>
        <x:v>0</x:v>
      </x:c>
    </x:row>
    <x:row r="157">
      <x:c r="A157" s="1"/>
      <x:c r="B157" s="5"/>
      <x:c r="C157" s="7" t="str">
        <x:f>IF(B157="","",YEAR(B157))</x:f>
      </x:c>
      <x:c r="D157" s="7" t="str">
        <x:f>IF(B157="","",INT((MONTH(B157)-1)/3)+1)</x:f>
      </x:c>
      <x:c r="E157" s="1"/>
      <x:c r="F157" s="1"/>
      <x:c r="G157" s="1"/>
      <x:c r="H157" s="1"/>
      <x:c r="I157" s="6"/>
      <x:c r="J157" s="6"/>
      <x:c r="K157" s="6"/>
      <x:c r="L157" s="8" t="str">
        <x:f>IF(I157="","",I157+J157-K157)</x:f>
      </x:c>
      <x:c r="M157" s="1"/>
      <x:c r="N157" s="1"/>
      <x:c r="O157" s="1"/>
      <x:c r="P157" s="1"/>
      <x:c r="Q157" s="7" t="n">
        <x:f>IF(AND(M157="Confirmado",ISNUMBER(I157)),I157,0)</x:f>
        <x:v>0</x:v>
      </x:c>
    </x:row>
    <x:row r="158">
      <x:c r="A158" s="1"/>
      <x:c r="B158" s="5"/>
      <x:c r="C158" s="7" t="str">
        <x:f>IF(B158="","",YEAR(B158))</x:f>
      </x:c>
      <x:c r="D158" s="7" t="str">
        <x:f>IF(B158="","",INT((MONTH(B158)-1)/3)+1)</x:f>
      </x:c>
      <x:c r="E158" s="1"/>
      <x:c r="F158" s="1"/>
      <x:c r="G158" s="1"/>
      <x:c r="H158" s="1"/>
      <x:c r="I158" s="6"/>
      <x:c r="J158" s="6"/>
      <x:c r="K158" s="6"/>
      <x:c r="L158" s="8" t="str">
        <x:f>IF(I158="","",I158+J158-K158)</x:f>
      </x:c>
      <x:c r="M158" s="1"/>
      <x:c r="N158" s="1"/>
      <x:c r="O158" s="1"/>
      <x:c r="P158" s="1"/>
      <x:c r="Q158" s="7" t="n">
        <x:f>IF(AND(M158="Confirmado",ISNUMBER(I158)),I158,0)</x:f>
        <x:v>0</x:v>
      </x:c>
    </x:row>
    <x:row r="159">
      <x:c r="A159" s="1"/>
      <x:c r="B159" s="5"/>
      <x:c r="C159" s="7" t="str">
        <x:f>IF(B159="","",YEAR(B159))</x:f>
      </x:c>
      <x:c r="D159" s="7" t="str">
        <x:f>IF(B159="","",INT((MONTH(B159)-1)/3)+1)</x:f>
      </x:c>
      <x:c r="E159" s="1"/>
      <x:c r="F159" s="1"/>
      <x:c r="G159" s="1"/>
      <x:c r="H159" s="1"/>
      <x:c r="I159" s="6"/>
      <x:c r="J159" s="6"/>
      <x:c r="K159" s="6"/>
      <x:c r="L159" s="8" t="str">
        <x:f>IF(I159="","",I159+J159-K159)</x:f>
      </x:c>
      <x:c r="M159" s="1"/>
      <x:c r="N159" s="1"/>
      <x:c r="O159" s="1"/>
      <x:c r="P159" s="1"/>
      <x:c r="Q159" s="7" t="n">
        <x:f>IF(AND(M159="Confirmado",ISNUMBER(I159)),I159,0)</x:f>
        <x:v>0</x:v>
      </x:c>
    </x:row>
    <x:row r="160">
      <x:c r="A160" s="1"/>
      <x:c r="B160" s="5"/>
      <x:c r="C160" s="7" t="str">
        <x:f>IF(B160="","",YEAR(B160))</x:f>
      </x:c>
      <x:c r="D160" s="7" t="str">
        <x:f>IF(B160="","",INT((MONTH(B160)-1)/3)+1)</x:f>
      </x:c>
      <x:c r="E160" s="1"/>
      <x:c r="F160" s="1"/>
      <x:c r="G160" s="1"/>
      <x:c r="H160" s="1"/>
      <x:c r="I160" s="6"/>
      <x:c r="J160" s="6"/>
      <x:c r="K160" s="6"/>
      <x:c r="L160" s="8" t="str">
        <x:f>IF(I160="","",I160+J160-K160)</x:f>
      </x:c>
      <x:c r="M160" s="1"/>
      <x:c r="N160" s="1"/>
      <x:c r="O160" s="1"/>
      <x:c r="P160" s="1"/>
      <x:c r="Q160" s="7" t="n">
        <x:f>IF(AND(M160="Confirmado",ISNUMBER(I160)),I160,0)</x:f>
        <x:v>0</x:v>
      </x:c>
    </x:row>
    <x:row r="161">
      <x:c r="A161" s="1"/>
      <x:c r="B161" s="5"/>
      <x:c r="C161" s="7" t="str">
        <x:f>IF(B161="","",YEAR(B161))</x:f>
      </x:c>
      <x:c r="D161" s="7" t="str">
        <x:f>IF(B161="","",INT((MONTH(B161)-1)/3)+1)</x:f>
      </x:c>
      <x:c r="E161" s="1"/>
      <x:c r="F161" s="1"/>
      <x:c r="G161" s="1"/>
      <x:c r="H161" s="1"/>
      <x:c r="I161" s="6"/>
      <x:c r="J161" s="6"/>
      <x:c r="K161" s="6"/>
      <x:c r="L161" s="8" t="str">
        <x:f>IF(I161="","",I161+J161-K161)</x:f>
      </x:c>
      <x:c r="M161" s="1"/>
      <x:c r="N161" s="1"/>
      <x:c r="O161" s="1"/>
      <x:c r="P161" s="1"/>
      <x:c r="Q161" s="7" t="n">
        <x:f>IF(AND(M161="Confirmado",ISNUMBER(I161)),I161,0)</x:f>
        <x:v>0</x:v>
      </x:c>
    </x:row>
    <x:row r="162">
      <x:c r="A162" s="1"/>
      <x:c r="B162" s="5"/>
      <x:c r="C162" s="7" t="str">
        <x:f>IF(B162="","",YEAR(B162))</x:f>
      </x:c>
      <x:c r="D162" s="7" t="str">
        <x:f>IF(B162="","",INT((MONTH(B162)-1)/3)+1)</x:f>
      </x:c>
      <x:c r="E162" s="1"/>
      <x:c r="F162" s="1"/>
      <x:c r="G162" s="1"/>
      <x:c r="H162" s="1"/>
      <x:c r="I162" s="6"/>
      <x:c r="J162" s="6"/>
      <x:c r="K162" s="6"/>
      <x:c r="L162" s="8" t="str">
        <x:f>IF(I162="","",I162+J162-K162)</x:f>
      </x:c>
      <x:c r="M162" s="1"/>
      <x:c r="N162" s="1"/>
      <x:c r="O162" s="1"/>
      <x:c r="P162" s="1"/>
      <x:c r="Q162" s="7" t="n">
        <x:f>IF(AND(M162="Confirmado",ISNUMBER(I162)),I162,0)</x:f>
        <x:v>0</x:v>
      </x:c>
    </x:row>
    <x:row r="163">
      <x:c r="A163" s="1"/>
      <x:c r="B163" s="5"/>
      <x:c r="C163" s="7" t="str">
        <x:f>IF(B163="","",YEAR(B163))</x:f>
      </x:c>
      <x:c r="D163" s="7" t="str">
        <x:f>IF(B163="","",INT((MONTH(B163)-1)/3)+1)</x:f>
      </x:c>
      <x:c r="E163" s="1"/>
      <x:c r="F163" s="1"/>
      <x:c r="G163" s="1"/>
      <x:c r="H163" s="1"/>
      <x:c r="I163" s="6"/>
      <x:c r="J163" s="6"/>
      <x:c r="K163" s="6"/>
      <x:c r="L163" s="8" t="str">
        <x:f>IF(I163="","",I163+J163-K163)</x:f>
      </x:c>
      <x:c r="M163" s="1"/>
      <x:c r="N163" s="1"/>
      <x:c r="O163" s="1"/>
      <x:c r="P163" s="1"/>
      <x:c r="Q163" s="7" t="n">
        <x:f>IF(AND(M163="Confirmado",ISNUMBER(I163)),I163,0)</x:f>
        <x:v>0</x:v>
      </x:c>
    </x:row>
    <x:row r="164">
      <x:c r="A164" s="1"/>
      <x:c r="B164" s="5"/>
      <x:c r="C164" s="7" t="str">
        <x:f>IF(B164="","",YEAR(B164))</x:f>
      </x:c>
      <x:c r="D164" s="7" t="str">
        <x:f>IF(B164="","",INT((MONTH(B164)-1)/3)+1)</x:f>
      </x:c>
      <x:c r="E164" s="1"/>
      <x:c r="F164" s="1"/>
      <x:c r="G164" s="1"/>
      <x:c r="H164" s="1"/>
      <x:c r="I164" s="6"/>
      <x:c r="J164" s="6"/>
      <x:c r="K164" s="6"/>
      <x:c r="L164" s="8" t="str">
        <x:f>IF(I164="","",I164+J164-K164)</x:f>
      </x:c>
      <x:c r="M164" s="1"/>
      <x:c r="N164" s="1"/>
      <x:c r="O164" s="1"/>
      <x:c r="P164" s="1"/>
      <x:c r="Q164" s="7" t="n">
        <x:f>IF(AND(M164="Confirmado",ISNUMBER(I164)),I164,0)</x:f>
        <x:v>0</x:v>
      </x:c>
    </x:row>
    <x:row r="165">
      <x:c r="A165" s="1"/>
      <x:c r="B165" s="5"/>
      <x:c r="C165" s="7" t="str">
        <x:f>IF(B165="","",YEAR(B165))</x:f>
      </x:c>
      <x:c r="D165" s="7" t="str">
        <x:f>IF(B165="","",INT((MONTH(B165)-1)/3)+1)</x:f>
      </x:c>
      <x:c r="E165" s="1"/>
      <x:c r="F165" s="1"/>
      <x:c r="G165" s="1"/>
      <x:c r="H165" s="1"/>
      <x:c r="I165" s="6"/>
      <x:c r="J165" s="6"/>
      <x:c r="K165" s="6"/>
      <x:c r="L165" s="8" t="str">
        <x:f>IF(I165="","",I165+J165-K165)</x:f>
      </x:c>
      <x:c r="M165" s="1"/>
      <x:c r="N165" s="1"/>
      <x:c r="O165" s="1"/>
      <x:c r="P165" s="1"/>
      <x:c r="Q165" s="7" t="n">
        <x:f>IF(AND(M165="Confirmado",ISNUMBER(I165)),I165,0)</x:f>
        <x:v>0</x:v>
      </x:c>
    </x:row>
    <x:row r="166">
      <x:c r="A166" s="1"/>
      <x:c r="B166" s="5"/>
      <x:c r="C166" s="7" t="str">
        <x:f>IF(B166="","",YEAR(B166))</x:f>
      </x:c>
      <x:c r="D166" s="7" t="str">
        <x:f>IF(B166="","",INT((MONTH(B166)-1)/3)+1)</x:f>
      </x:c>
      <x:c r="E166" s="1"/>
      <x:c r="F166" s="1"/>
      <x:c r="G166" s="1"/>
      <x:c r="H166" s="1"/>
      <x:c r="I166" s="6"/>
      <x:c r="J166" s="6"/>
      <x:c r="K166" s="6"/>
      <x:c r="L166" s="8" t="str">
        <x:f>IF(I166="","",I166+J166-K166)</x:f>
      </x:c>
      <x:c r="M166" s="1"/>
      <x:c r="N166" s="1"/>
      <x:c r="O166" s="1"/>
      <x:c r="P166" s="1"/>
      <x:c r="Q166" s="7" t="n">
        <x:f>IF(AND(M166="Confirmado",ISNUMBER(I166)),I166,0)</x:f>
        <x:v>0</x:v>
      </x:c>
    </x:row>
    <x:row r="167">
      <x:c r="A167" s="1"/>
      <x:c r="B167" s="5"/>
      <x:c r="C167" s="7" t="str">
        <x:f>IF(B167="","",YEAR(B167))</x:f>
      </x:c>
      <x:c r="D167" s="7" t="str">
        <x:f>IF(B167="","",INT((MONTH(B167)-1)/3)+1)</x:f>
      </x:c>
      <x:c r="E167" s="1"/>
      <x:c r="F167" s="1"/>
      <x:c r="G167" s="1"/>
      <x:c r="H167" s="1"/>
      <x:c r="I167" s="6"/>
      <x:c r="J167" s="6"/>
      <x:c r="K167" s="6"/>
      <x:c r="L167" s="8" t="str">
        <x:f>IF(I167="","",I167+J167-K167)</x:f>
      </x:c>
      <x:c r="M167" s="1"/>
      <x:c r="N167" s="1"/>
      <x:c r="O167" s="1"/>
      <x:c r="P167" s="1"/>
      <x:c r="Q167" s="7" t="n">
        <x:f>IF(AND(M167="Confirmado",ISNUMBER(I167)),I167,0)</x:f>
        <x:v>0</x:v>
      </x:c>
    </x:row>
    <x:row r="168">
      <x:c r="A168" s="1"/>
      <x:c r="B168" s="5"/>
      <x:c r="C168" s="7" t="str">
        <x:f>IF(B168="","",YEAR(B168))</x:f>
      </x:c>
      <x:c r="D168" s="7" t="str">
        <x:f>IF(B168="","",INT((MONTH(B168)-1)/3)+1)</x:f>
      </x:c>
      <x:c r="E168" s="1"/>
      <x:c r="F168" s="1"/>
      <x:c r="G168" s="1"/>
      <x:c r="H168" s="1"/>
      <x:c r="I168" s="6"/>
      <x:c r="J168" s="6"/>
      <x:c r="K168" s="6"/>
      <x:c r="L168" s="8" t="str">
        <x:f>IF(I168="","",I168+J168-K168)</x:f>
      </x:c>
      <x:c r="M168" s="1"/>
      <x:c r="N168" s="1"/>
      <x:c r="O168" s="1"/>
      <x:c r="P168" s="1"/>
      <x:c r="Q168" s="7" t="n">
        <x:f>IF(AND(M168="Confirmado",ISNUMBER(I168)),I168,0)</x:f>
        <x:v>0</x:v>
      </x:c>
    </x:row>
    <x:row r="169">
      <x:c r="A169" s="1"/>
      <x:c r="B169" s="5"/>
      <x:c r="C169" s="7" t="str">
        <x:f>IF(B169="","",YEAR(B169))</x:f>
      </x:c>
      <x:c r="D169" s="7" t="str">
        <x:f>IF(B169="","",INT((MONTH(B169)-1)/3)+1)</x:f>
      </x:c>
      <x:c r="E169" s="1"/>
      <x:c r="F169" s="1"/>
      <x:c r="G169" s="1"/>
      <x:c r="H169" s="1"/>
      <x:c r="I169" s="6"/>
      <x:c r="J169" s="6"/>
      <x:c r="K169" s="6"/>
      <x:c r="L169" s="8" t="str">
        <x:f>IF(I169="","",I169+J169-K169)</x:f>
      </x:c>
      <x:c r="M169" s="1"/>
      <x:c r="N169" s="1"/>
      <x:c r="O169" s="1"/>
      <x:c r="P169" s="1"/>
      <x:c r="Q169" s="7" t="n">
        <x:f>IF(AND(M169="Confirmado",ISNUMBER(I169)),I169,0)</x:f>
        <x:v>0</x:v>
      </x:c>
    </x:row>
    <x:row r="170">
      <x:c r="A170" s="1"/>
      <x:c r="B170" s="5"/>
      <x:c r="C170" s="7" t="str">
        <x:f>IF(B170="","",YEAR(B170))</x:f>
      </x:c>
      <x:c r="D170" s="7" t="str">
        <x:f>IF(B170="","",INT((MONTH(B170)-1)/3)+1)</x:f>
      </x:c>
      <x:c r="E170" s="1"/>
      <x:c r="F170" s="1"/>
      <x:c r="G170" s="1"/>
      <x:c r="H170" s="1"/>
      <x:c r="I170" s="6"/>
      <x:c r="J170" s="6"/>
      <x:c r="K170" s="6"/>
      <x:c r="L170" s="8" t="str">
        <x:f>IF(I170="","",I170+J170-K170)</x:f>
      </x:c>
      <x:c r="M170" s="1"/>
      <x:c r="N170" s="1"/>
      <x:c r="O170" s="1"/>
      <x:c r="P170" s="1"/>
      <x:c r="Q170" s="7" t="n">
        <x:f>IF(AND(M170="Confirmado",ISNUMBER(I170)),I170,0)</x:f>
        <x:v>0</x:v>
      </x:c>
    </x:row>
    <x:row r="171">
      <x:c r="A171" s="1"/>
      <x:c r="B171" s="5"/>
      <x:c r="C171" s="7" t="str">
        <x:f>IF(B171="","",YEAR(B171))</x:f>
      </x:c>
      <x:c r="D171" s="7" t="str">
        <x:f>IF(B171="","",INT((MONTH(B171)-1)/3)+1)</x:f>
      </x:c>
      <x:c r="E171" s="1"/>
      <x:c r="F171" s="1"/>
      <x:c r="G171" s="1"/>
      <x:c r="H171" s="1"/>
      <x:c r="I171" s="6"/>
      <x:c r="J171" s="6"/>
      <x:c r="K171" s="6"/>
      <x:c r="L171" s="8" t="str">
        <x:f>IF(I171="","",I171+J171-K171)</x:f>
      </x:c>
      <x:c r="M171" s="1"/>
      <x:c r="N171" s="1"/>
      <x:c r="O171" s="1"/>
      <x:c r="P171" s="1"/>
      <x:c r="Q171" s="7" t="n">
        <x:f>IF(AND(M171="Confirmado",ISNUMBER(I171)),I171,0)</x:f>
        <x:v>0</x:v>
      </x:c>
    </x:row>
    <x:row r="172">
      <x:c r="A172" s="1"/>
      <x:c r="B172" s="5"/>
      <x:c r="C172" s="7" t="str">
        <x:f>IF(B172="","",YEAR(B172))</x:f>
      </x:c>
      <x:c r="D172" s="7" t="str">
        <x:f>IF(B172="","",INT((MONTH(B172)-1)/3)+1)</x:f>
      </x:c>
      <x:c r="E172" s="1"/>
      <x:c r="F172" s="1"/>
      <x:c r="G172" s="1"/>
      <x:c r="H172" s="1"/>
      <x:c r="I172" s="6"/>
      <x:c r="J172" s="6"/>
      <x:c r="K172" s="6"/>
      <x:c r="L172" s="8" t="str">
        <x:f>IF(I172="","",I172+J172-K172)</x:f>
      </x:c>
      <x:c r="M172" s="1"/>
      <x:c r="N172" s="1"/>
      <x:c r="O172" s="1"/>
      <x:c r="P172" s="1"/>
      <x:c r="Q172" s="7" t="n">
        <x:f>IF(AND(M172="Confirmado",ISNUMBER(I172)),I172,0)</x:f>
        <x:v>0</x:v>
      </x:c>
    </x:row>
    <x:row r="173">
      <x:c r="A173" s="1"/>
      <x:c r="B173" s="5"/>
      <x:c r="C173" s="7" t="str">
        <x:f>IF(B173="","",YEAR(B173))</x:f>
      </x:c>
      <x:c r="D173" s="7" t="str">
        <x:f>IF(B173="","",INT((MONTH(B173)-1)/3)+1)</x:f>
      </x:c>
      <x:c r="E173" s="1"/>
      <x:c r="F173" s="1"/>
      <x:c r="G173" s="1"/>
      <x:c r="H173" s="1"/>
      <x:c r="I173" s="6"/>
      <x:c r="J173" s="6"/>
      <x:c r="K173" s="6"/>
      <x:c r="L173" s="8" t="str">
        <x:f>IF(I173="","",I173+J173-K173)</x:f>
      </x:c>
      <x:c r="M173" s="1"/>
      <x:c r="N173" s="1"/>
      <x:c r="O173" s="1"/>
      <x:c r="P173" s="1"/>
      <x:c r="Q173" s="7" t="n">
        <x:f>IF(AND(M173="Confirmado",ISNUMBER(I173)),I173,0)</x:f>
        <x:v>0</x:v>
      </x:c>
    </x:row>
    <x:row r="174">
      <x:c r="A174" s="1"/>
      <x:c r="B174" s="5"/>
      <x:c r="C174" s="7" t="str">
        <x:f>IF(B174="","",YEAR(B174))</x:f>
      </x:c>
      <x:c r="D174" s="7" t="str">
        <x:f>IF(B174="","",INT((MONTH(B174)-1)/3)+1)</x:f>
      </x:c>
      <x:c r="E174" s="1"/>
      <x:c r="F174" s="1"/>
      <x:c r="G174" s="1"/>
      <x:c r="H174" s="1"/>
      <x:c r="I174" s="6"/>
      <x:c r="J174" s="6"/>
      <x:c r="K174" s="6"/>
      <x:c r="L174" s="8" t="str">
        <x:f>IF(I174="","",I174+J174-K174)</x:f>
      </x:c>
      <x:c r="M174" s="1"/>
      <x:c r="N174" s="1"/>
      <x:c r="O174" s="1"/>
      <x:c r="P174" s="1"/>
      <x:c r="Q174" s="7" t="n">
        <x:f>IF(AND(M174="Confirmado",ISNUMBER(I174)),I174,0)</x:f>
        <x:v>0</x:v>
      </x:c>
    </x:row>
    <x:row r="175">
      <x:c r="A175" s="1"/>
      <x:c r="B175" s="5"/>
      <x:c r="C175" s="7" t="str">
        <x:f>IF(B175="","",YEAR(B175))</x:f>
      </x:c>
      <x:c r="D175" s="7" t="str">
        <x:f>IF(B175="","",INT((MONTH(B175)-1)/3)+1)</x:f>
      </x:c>
      <x:c r="E175" s="1"/>
      <x:c r="F175" s="1"/>
      <x:c r="G175" s="1"/>
      <x:c r="H175" s="1"/>
      <x:c r="I175" s="6"/>
      <x:c r="J175" s="6"/>
      <x:c r="K175" s="6"/>
      <x:c r="L175" s="8" t="str">
        <x:f>IF(I175="","",I175+J175-K175)</x:f>
      </x:c>
      <x:c r="M175" s="1"/>
      <x:c r="N175" s="1"/>
      <x:c r="O175" s="1"/>
      <x:c r="P175" s="1"/>
      <x:c r="Q175" s="7" t="n">
        <x:f>IF(AND(M175="Confirmado",ISNUMBER(I175)),I175,0)</x:f>
        <x:v>0</x:v>
      </x:c>
    </x:row>
    <x:row r="176">
      <x:c r="A176" s="1"/>
      <x:c r="B176" s="5"/>
      <x:c r="C176" s="7" t="str">
        <x:f>IF(B176="","",YEAR(B176))</x:f>
      </x:c>
      <x:c r="D176" s="7" t="str">
        <x:f>IF(B176="","",INT((MONTH(B176)-1)/3)+1)</x:f>
      </x:c>
      <x:c r="E176" s="1"/>
      <x:c r="F176" s="1"/>
      <x:c r="G176" s="1"/>
      <x:c r="H176" s="1"/>
      <x:c r="I176" s="6"/>
      <x:c r="J176" s="6"/>
      <x:c r="K176" s="6"/>
      <x:c r="L176" s="8" t="str">
        <x:f>IF(I176="","",I176+J176-K176)</x:f>
      </x:c>
      <x:c r="M176" s="1"/>
      <x:c r="N176" s="1"/>
      <x:c r="O176" s="1"/>
      <x:c r="P176" s="1"/>
      <x:c r="Q176" s="7" t="n">
        <x:f>IF(AND(M176="Confirmado",ISNUMBER(I176)),I176,0)</x:f>
        <x:v>0</x:v>
      </x:c>
    </x:row>
    <x:row r="177">
      <x:c r="A177" s="1"/>
      <x:c r="B177" s="5"/>
      <x:c r="C177" s="7" t="str">
        <x:f>IF(B177="","",YEAR(B177))</x:f>
      </x:c>
      <x:c r="D177" s="7" t="str">
        <x:f>IF(B177="","",INT((MONTH(B177)-1)/3)+1)</x:f>
      </x:c>
      <x:c r="E177" s="1"/>
      <x:c r="F177" s="1"/>
      <x:c r="G177" s="1"/>
      <x:c r="H177" s="1"/>
      <x:c r="I177" s="6"/>
      <x:c r="J177" s="6"/>
      <x:c r="K177" s="6"/>
      <x:c r="L177" s="8" t="str">
        <x:f>IF(I177="","",I177+J177-K177)</x:f>
      </x:c>
      <x:c r="M177" s="1"/>
      <x:c r="N177" s="1"/>
      <x:c r="O177" s="1"/>
      <x:c r="P177" s="1"/>
      <x:c r="Q177" s="7" t="n">
        <x:f>IF(AND(M177="Confirmado",ISNUMBER(I177)),I177,0)</x:f>
        <x:v>0</x:v>
      </x:c>
    </x:row>
    <x:row r="178">
      <x:c r="A178" s="1"/>
      <x:c r="B178" s="5"/>
      <x:c r="C178" s="7" t="str">
        <x:f>IF(B178="","",YEAR(B178))</x:f>
      </x:c>
      <x:c r="D178" s="7" t="str">
        <x:f>IF(B178="","",INT((MONTH(B178)-1)/3)+1)</x:f>
      </x:c>
      <x:c r="E178" s="1"/>
      <x:c r="F178" s="1"/>
      <x:c r="G178" s="1"/>
      <x:c r="H178" s="1"/>
      <x:c r="I178" s="6"/>
      <x:c r="J178" s="6"/>
      <x:c r="K178" s="6"/>
      <x:c r="L178" s="8" t="str">
        <x:f>IF(I178="","",I178+J178-K178)</x:f>
      </x:c>
      <x:c r="M178" s="1"/>
      <x:c r="N178" s="1"/>
      <x:c r="O178" s="1"/>
      <x:c r="P178" s="1"/>
      <x:c r="Q178" s="7" t="n">
        <x:f>IF(AND(M178="Confirmado",ISNUMBER(I178)),I178,0)</x:f>
        <x:v>0</x:v>
      </x:c>
    </x:row>
    <x:row r="179">
      <x:c r="A179" s="1"/>
      <x:c r="B179" s="5"/>
      <x:c r="C179" s="7" t="str">
        <x:f>IF(B179="","",YEAR(B179))</x:f>
      </x:c>
      <x:c r="D179" s="7" t="str">
        <x:f>IF(B179="","",INT((MONTH(B179)-1)/3)+1)</x:f>
      </x:c>
      <x:c r="E179" s="1"/>
      <x:c r="F179" s="1"/>
      <x:c r="G179" s="1"/>
      <x:c r="H179" s="1"/>
      <x:c r="I179" s="6"/>
      <x:c r="J179" s="6"/>
      <x:c r="K179" s="6"/>
      <x:c r="L179" s="8" t="str">
        <x:f>IF(I179="","",I179+J179-K179)</x:f>
      </x:c>
      <x:c r="M179" s="1"/>
      <x:c r="N179" s="1"/>
      <x:c r="O179" s="1"/>
      <x:c r="P179" s="1"/>
      <x:c r="Q179" s="7" t="n">
        <x:f>IF(AND(M179="Confirmado",ISNUMBER(I179)),I179,0)</x:f>
        <x:v>0</x:v>
      </x:c>
    </x:row>
    <x:row r="180">
      <x:c r="A180" s="1"/>
      <x:c r="B180" s="5"/>
      <x:c r="C180" s="7" t="str">
        <x:f>IF(B180="","",YEAR(B180))</x:f>
      </x:c>
      <x:c r="D180" s="7" t="str">
        <x:f>IF(B180="","",INT((MONTH(B180)-1)/3)+1)</x:f>
      </x:c>
      <x:c r="E180" s="1"/>
      <x:c r="F180" s="1"/>
      <x:c r="G180" s="1"/>
      <x:c r="H180" s="1"/>
      <x:c r="I180" s="6"/>
      <x:c r="J180" s="6"/>
      <x:c r="K180" s="6"/>
      <x:c r="L180" s="8" t="str">
        <x:f>IF(I180="","",I180+J180-K180)</x:f>
      </x:c>
      <x:c r="M180" s="1"/>
      <x:c r="N180" s="1"/>
      <x:c r="O180" s="1"/>
      <x:c r="P180" s="1"/>
      <x:c r="Q180" s="7" t="n">
        <x:f>IF(AND(M180="Confirmado",ISNUMBER(I180)),I180,0)</x:f>
        <x:v>0</x:v>
      </x:c>
    </x:row>
    <x:row r="181">
      <x:c r="A181" s="1"/>
      <x:c r="B181" s="5"/>
      <x:c r="C181" s="7" t="str">
        <x:f>IF(B181="","",YEAR(B181))</x:f>
      </x:c>
      <x:c r="D181" s="7" t="str">
        <x:f>IF(B181="","",INT((MONTH(B181)-1)/3)+1)</x:f>
      </x:c>
      <x:c r="E181" s="1"/>
      <x:c r="F181" s="1"/>
      <x:c r="G181" s="1"/>
      <x:c r="H181" s="1"/>
      <x:c r="I181" s="6"/>
      <x:c r="J181" s="6"/>
      <x:c r="K181" s="6"/>
      <x:c r="L181" s="8" t="str">
        <x:f>IF(I181="","",I181+J181-K181)</x:f>
      </x:c>
      <x:c r="M181" s="1"/>
      <x:c r="N181" s="1"/>
      <x:c r="O181" s="1"/>
      <x:c r="P181" s="1"/>
      <x:c r="Q181" s="7" t="n">
        <x:f>IF(AND(M181="Confirmado",ISNUMBER(I181)),I181,0)</x:f>
        <x:v>0</x:v>
      </x:c>
    </x:row>
    <x:row r="182">
      <x:c r="A182" s="1"/>
      <x:c r="B182" s="5"/>
      <x:c r="C182" s="7" t="str">
        <x:f>IF(B182="","",YEAR(B182))</x:f>
      </x:c>
      <x:c r="D182" s="7" t="str">
        <x:f>IF(B182="","",INT((MONTH(B182)-1)/3)+1)</x:f>
      </x:c>
      <x:c r="E182" s="1"/>
      <x:c r="F182" s="1"/>
      <x:c r="G182" s="1"/>
      <x:c r="H182" s="1"/>
      <x:c r="I182" s="6"/>
      <x:c r="J182" s="6"/>
      <x:c r="K182" s="6"/>
      <x:c r="L182" s="8" t="str">
        <x:f>IF(I182="","",I182+J182-K182)</x:f>
      </x:c>
      <x:c r="M182" s="1"/>
      <x:c r="N182" s="1"/>
      <x:c r="O182" s="1"/>
      <x:c r="P182" s="1"/>
      <x:c r="Q182" s="7" t="n">
        <x:f>IF(AND(M182="Confirmado",ISNUMBER(I182)),I182,0)</x:f>
        <x:v>0</x:v>
      </x:c>
    </x:row>
    <x:row r="183">
      <x:c r="A183" s="1"/>
      <x:c r="B183" s="5"/>
      <x:c r="C183" s="7" t="str">
        <x:f>IF(B183="","",YEAR(B183))</x:f>
      </x:c>
      <x:c r="D183" s="7" t="str">
        <x:f>IF(B183="","",INT((MONTH(B183)-1)/3)+1)</x:f>
      </x:c>
      <x:c r="E183" s="1"/>
      <x:c r="F183" s="1"/>
      <x:c r="G183" s="1"/>
      <x:c r="H183" s="1"/>
      <x:c r="I183" s="6"/>
      <x:c r="J183" s="6"/>
      <x:c r="K183" s="6"/>
      <x:c r="L183" s="8" t="str">
        <x:f>IF(I183="","",I183+J183-K183)</x:f>
      </x:c>
      <x:c r="M183" s="1"/>
      <x:c r="N183" s="1"/>
      <x:c r="O183" s="1"/>
      <x:c r="P183" s="1"/>
      <x:c r="Q183" s="7" t="n">
        <x:f>IF(AND(M183="Confirmado",ISNUMBER(I183)),I183,0)</x:f>
        <x:v>0</x:v>
      </x:c>
    </x:row>
    <x:row r="184">
      <x:c r="A184" s="1"/>
      <x:c r="B184" s="5"/>
      <x:c r="C184" s="7" t="str">
        <x:f>IF(B184="","",YEAR(B184))</x:f>
      </x:c>
      <x:c r="D184" s="7" t="str">
        <x:f>IF(B184="","",INT((MONTH(B184)-1)/3)+1)</x:f>
      </x:c>
      <x:c r="E184" s="1"/>
      <x:c r="F184" s="1"/>
      <x:c r="G184" s="1"/>
      <x:c r="H184" s="1"/>
      <x:c r="I184" s="6"/>
      <x:c r="J184" s="6"/>
      <x:c r="K184" s="6"/>
      <x:c r="L184" s="8" t="str">
        <x:f>IF(I184="","",I184+J184-K184)</x:f>
      </x:c>
      <x:c r="M184" s="1"/>
      <x:c r="N184" s="1"/>
      <x:c r="O184" s="1"/>
      <x:c r="P184" s="1"/>
      <x:c r="Q184" s="7" t="n">
        <x:f>IF(AND(M184="Confirmado",ISNUMBER(I184)),I184,0)</x:f>
        <x:v>0</x:v>
      </x:c>
    </x:row>
    <x:row r="185">
      <x:c r="A185" s="1"/>
      <x:c r="B185" s="5"/>
      <x:c r="C185" s="7" t="str">
        <x:f>IF(B185="","",YEAR(B185))</x:f>
      </x:c>
      <x:c r="D185" s="7" t="str">
        <x:f>IF(B185="","",INT((MONTH(B185)-1)/3)+1)</x:f>
      </x:c>
      <x:c r="E185" s="1"/>
      <x:c r="F185" s="1"/>
      <x:c r="G185" s="1"/>
      <x:c r="H185" s="1"/>
      <x:c r="I185" s="6"/>
      <x:c r="J185" s="6"/>
      <x:c r="K185" s="6"/>
      <x:c r="L185" s="8" t="str">
        <x:f>IF(I185="","",I185+J185-K185)</x:f>
      </x:c>
      <x:c r="M185" s="1"/>
      <x:c r="N185" s="1"/>
      <x:c r="O185" s="1"/>
      <x:c r="P185" s="1"/>
      <x:c r="Q185" s="7" t="n">
        <x:f>IF(AND(M185="Confirmado",ISNUMBER(I185)),I185,0)</x:f>
        <x:v>0</x:v>
      </x:c>
    </x:row>
    <x:row r="186">
      <x:c r="A186" s="1"/>
      <x:c r="B186" s="5"/>
      <x:c r="C186" s="7" t="str">
        <x:f>IF(B186="","",YEAR(B186))</x:f>
      </x:c>
      <x:c r="D186" s="7" t="str">
        <x:f>IF(B186="","",INT((MONTH(B186)-1)/3)+1)</x:f>
      </x:c>
      <x:c r="E186" s="1"/>
      <x:c r="F186" s="1"/>
      <x:c r="G186" s="1"/>
      <x:c r="H186" s="1"/>
      <x:c r="I186" s="6"/>
      <x:c r="J186" s="6"/>
      <x:c r="K186" s="6"/>
      <x:c r="L186" s="8" t="str">
        <x:f>IF(I186="","",I186+J186-K186)</x:f>
      </x:c>
      <x:c r="M186" s="1"/>
      <x:c r="N186" s="1"/>
      <x:c r="O186" s="1"/>
      <x:c r="P186" s="1"/>
      <x:c r="Q186" s="7" t="n">
        <x:f>IF(AND(M186="Confirmado",ISNUMBER(I186)),I186,0)</x:f>
        <x:v>0</x:v>
      </x:c>
    </x:row>
    <x:row r="187">
      <x:c r="A187" s="1"/>
      <x:c r="B187" s="5"/>
      <x:c r="C187" s="7" t="str">
        <x:f>IF(B187="","",YEAR(B187))</x:f>
      </x:c>
      <x:c r="D187" s="7" t="str">
        <x:f>IF(B187="","",INT((MONTH(B187)-1)/3)+1)</x:f>
      </x:c>
      <x:c r="E187" s="1"/>
      <x:c r="F187" s="1"/>
      <x:c r="G187" s="1"/>
      <x:c r="H187" s="1"/>
      <x:c r="I187" s="6"/>
      <x:c r="J187" s="6"/>
      <x:c r="K187" s="6"/>
      <x:c r="L187" s="8" t="str">
        <x:f>IF(I187="","",I187+J187-K187)</x:f>
      </x:c>
      <x:c r="M187" s="1"/>
      <x:c r="N187" s="1"/>
      <x:c r="O187" s="1"/>
      <x:c r="P187" s="1"/>
      <x:c r="Q187" s="7" t="n">
        <x:f>IF(AND(M187="Confirmado",ISNUMBER(I187)),I187,0)</x:f>
        <x:v>0</x:v>
      </x:c>
    </x:row>
    <x:row r="188">
      <x:c r="A188" s="1"/>
      <x:c r="B188" s="5"/>
      <x:c r="C188" s="7" t="str">
        <x:f>IF(B188="","",YEAR(B188))</x:f>
      </x:c>
      <x:c r="D188" s="7" t="str">
        <x:f>IF(B188="","",INT((MONTH(B188)-1)/3)+1)</x:f>
      </x:c>
      <x:c r="E188" s="1"/>
      <x:c r="F188" s="1"/>
      <x:c r="G188" s="1"/>
      <x:c r="H188" s="1"/>
      <x:c r="I188" s="6"/>
      <x:c r="J188" s="6"/>
      <x:c r="K188" s="6"/>
      <x:c r="L188" s="8" t="str">
        <x:f>IF(I188="","",I188+J188-K188)</x:f>
      </x:c>
      <x:c r="M188" s="1"/>
      <x:c r="N188" s="1"/>
      <x:c r="O188" s="1"/>
      <x:c r="P188" s="1"/>
      <x:c r="Q188" s="7" t="n">
        <x:f>IF(AND(M188="Confirmado",ISNUMBER(I188)),I188,0)</x:f>
        <x:v>0</x:v>
      </x:c>
    </x:row>
    <x:row r="189">
      <x:c r="A189" s="1"/>
      <x:c r="B189" s="5"/>
      <x:c r="C189" s="7" t="str">
        <x:f>IF(B189="","",YEAR(B189))</x:f>
      </x:c>
      <x:c r="D189" s="7" t="str">
        <x:f>IF(B189="","",INT((MONTH(B189)-1)/3)+1)</x:f>
      </x:c>
      <x:c r="E189" s="1"/>
      <x:c r="F189" s="1"/>
      <x:c r="G189" s="1"/>
      <x:c r="H189" s="1"/>
      <x:c r="I189" s="6"/>
      <x:c r="J189" s="6"/>
      <x:c r="K189" s="6"/>
      <x:c r="L189" s="8" t="str">
        <x:f>IF(I189="","",I189+J189-K189)</x:f>
      </x:c>
      <x:c r="M189" s="1"/>
      <x:c r="N189" s="1"/>
      <x:c r="O189" s="1"/>
      <x:c r="P189" s="1"/>
      <x:c r="Q189" s="7" t="n">
        <x:f>IF(AND(M189="Confirmado",ISNUMBER(I189)),I189,0)</x:f>
        <x:v>0</x:v>
      </x:c>
    </x:row>
    <x:row r="190">
      <x:c r="A190" s="1"/>
      <x:c r="B190" s="5"/>
      <x:c r="C190" s="7" t="str">
        <x:f>IF(B190="","",YEAR(B190))</x:f>
      </x:c>
      <x:c r="D190" s="7" t="str">
        <x:f>IF(B190="","",INT((MONTH(B190)-1)/3)+1)</x:f>
      </x:c>
      <x:c r="E190" s="1"/>
      <x:c r="F190" s="1"/>
      <x:c r="G190" s="1"/>
      <x:c r="H190" s="1"/>
      <x:c r="I190" s="6"/>
      <x:c r="J190" s="6"/>
      <x:c r="K190" s="6"/>
      <x:c r="L190" s="8" t="str">
        <x:f>IF(I190="","",I190+J190-K190)</x:f>
      </x:c>
      <x:c r="M190" s="1"/>
      <x:c r="N190" s="1"/>
      <x:c r="O190" s="1"/>
      <x:c r="P190" s="1"/>
      <x:c r="Q190" s="7" t="n">
        <x:f>IF(AND(M190="Confirmado",ISNUMBER(I190)),I190,0)</x:f>
        <x:v>0</x:v>
      </x:c>
    </x:row>
    <x:row r="191">
      <x:c r="A191" s="1"/>
      <x:c r="B191" s="5"/>
      <x:c r="C191" s="7" t="str">
        <x:f>IF(B191="","",YEAR(B191))</x:f>
      </x:c>
      <x:c r="D191" s="7" t="str">
        <x:f>IF(B191="","",INT((MONTH(B191)-1)/3)+1)</x:f>
      </x:c>
      <x:c r="E191" s="1"/>
      <x:c r="F191" s="1"/>
      <x:c r="G191" s="1"/>
      <x:c r="H191" s="1"/>
      <x:c r="I191" s="6"/>
      <x:c r="J191" s="6"/>
      <x:c r="K191" s="6"/>
      <x:c r="L191" s="8" t="str">
        <x:f>IF(I191="","",I191+J191-K191)</x:f>
      </x:c>
      <x:c r="M191" s="1"/>
      <x:c r="N191" s="1"/>
      <x:c r="O191" s="1"/>
      <x:c r="P191" s="1"/>
      <x:c r="Q191" s="7" t="n">
        <x:f>IF(AND(M191="Confirmado",ISNUMBER(I191)),I191,0)</x:f>
        <x:v>0</x:v>
      </x:c>
    </x:row>
    <x:row r="192">
      <x:c r="A192" s="1"/>
      <x:c r="B192" s="5"/>
      <x:c r="C192" s="7" t="str">
        <x:f>IF(B192="","",YEAR(B192))</x:f>
      </x:c>
      <x:c r="D192" s="7" t="str">
        <x:f>IF(B192="","",INT((MONTH(B192)-1)/3)+1)</x:f>
      </x:c>
      <x:c r="E192" s="1"/>
      <x:c r="F192" s="1"/>
      <x:c r="G192" s="1"/>
      <x:c r="H192" s="1"/>
      <x:c r="I192" s="6"/>
      <x:c r="J192" s="6"/>
      <x:c r="K192" s="6"/>
      <x:c r="L192" s="8" t="str">
        <x:f>IF(I192="","",I192+J192-K192)</x:f>
      </x:c>
      <x:c r="M192" s="1"/>
      <x:c r="N192" s="1"/>
      <x:c r="O192" s="1"/>
      <x:c r="P192" s="1"/>
      <x:c r="Q192" s="7" t="n">
        <x:f>IF(AND(M192="Confirmado",ISNUMBER(I192)),I192,0)</x:f>
        <x:v>0</x:v>
      </x:c>
    </x:row>
    <x:row r="193">
      <x:c r="A193" s="1"/>
      <x:c r="B193" s="5"/>
      <x:c r="C193" s="7" t="str">
        <x:f>IF(B193="","",YEAR(B193))</x:f>
      </x:c>
      <x:c r="D193" s="7" t="str">
        <x:f>IF(B193="","",INT((MONTH(B193)-1)/3)+1)</x:f>
      </x:c>
      <x:c r="E193" s="1"/>
      <x:c r="F193" s="1"/>
      <x:c r="G193" s="1"/>
      <x:c r="H193" s="1"/>
      <x:c r="I193" s="6"/>
      <x:c r="J193" s="6"/>
      <x:c r="K193" s="6"/>
      <x:c r="L193" s="8" t="str">
        <x:f>IF(I193="","",I193+J193-K193)</x:f>
      </x:c>
      <x:c r="M193" s="1"/>
      <x:c r="N193" s="1"/>
      <x:c r="O193" s="1"/>
      <x:c r="P193" s="1"/>
      <x:c r="Q193" s="7" t="n">
        <x:f>IF(AND(M193="Confirmado",ISNUMBER(I193)),I193,0)</x:f>
        <x:v>0</x:v>
      </x:c>
    </x:row>
    <x:row r="194">
      <x:c r="A194" s="1"/>
      <x:c r="B194" s="5"/>
      <x:c r="C194" s="7" t="str">
        <x:f>IF(B194="","",YEAR(B194))</x:f>
      </x:c>
      <x:c r="D194" s="7" t="str">
        <x:f>IF(B194="","",INT((MONTH(B194)-1)/3)+1)</x:f>
      </x:c>
      <x:c r="E194" s="1"/>
      <x:c r="F194" s="1"/>
      <x:c r="G194" s="1"/>
      <x:c r="H194" s="1"/>
      <x:c r="I194" s="6"/>
      <x:c r="J194" s="6"/>
      <x:c r="K194" s="6"/>
      <x:c r="L194" s="8" t="str">
        <x:f>IF(I194="","",I194+J194-K194)</x:f>
      </x:c>
      <x:c r="M194" s="1"/>
      <x:c r="N194" s="1"/>
      <x:c r="O194" s="1"/>
      <x:c r="P194" s="1"/>
      <x:c r="Q194" s="7" t="n">
        <x:f>IF(AND(M194="Confirmado",ISNUMBER(I194)),I194,0)</x:f>
        <x:v>0</x:v>
      </x:c>
    </x:row>
    <x:row r="195">
      <x:c r="A195" s="1"/>
      <x:c r="B195" s="5"/>
      <x:c r="C195" s="7" t="str">
        <x:f>IF(B195="","",YEAR(B195))</x:f>
      </x:c>
      <x:c r="D195" s="7" t="str">
        <x:f>IF(B195="","",INT((MONTH(B195)-1)/3)+1)</x:f>
      </x:c>
      <x:c r="E195" s="1"/>
      <x:c r="F195" s="1"/>
      <x:c r="G195" s="1"/>
      <x:c r="H195" s="1"/>
      <x:c r="I195" s="6"/>
      <x:c r="J195" s="6"/>
      <x:c r="K195" s="6"/>
      <x:c r="L195" s="8" t="str">
        <x:f>IF(I195="","",I195+J195-K195)</x:f>
      </x:c>
      <x:c r="M195" s="1"/>
      <x:c r="N195" s="1"/>
      <x:c r="O195" s="1"/>
      <x:c r="P195" s="1"/>
      <x:c r="Q195" s="7" t="n">
        <x:f>IF(AND(M195="Confirmado",ISNUMBER(I195)),I195,0)</x:f>
        <x:v>0</x:v>
      </x:c>
    </x:row>
    <x:row r="196">
      <x:c r="A196" s="1"/>
      <x:c r="B196" s="5"/>
      <x:c r="C196" s="7" t="str">
        <x:f>IF(B196="","",YEAR(B196))</x:f>
      </x:c>
      <x:c r="D196" s="7" t="str">
        <x:f>IF(B196="","",INT((MONTH(B196)-1)/3)+1)</x:f>
      </x:c>
      <x:c r="E196" s="1"/>
      <x:c r="F196" s="1"/>
      <x:c r="G196" s="1"/>
      <x:c r="H196" s="1"/>
      <x:c r="I196" s="6"/>
      <x:c r="J196" s="6"/>
      <x:c r="K196" s="6"/>
      <x:c r="L196" s="8" t="str">
        <x:f>IF(I196="","",I196+J196-K196)</x:f>
      </x:c>
      <x:c r="M196" s="1"/>
      <x:c r="N196" s="1"/>
      <x:c r="O196" s="1"/>
      <x:c r="P196" s="1"/>
      <x:c r="Q196" s="7" t="n">
        <x:f>IF(AND(M196="Confirmado",ISNUMBER(I196)),I196,0)</x:f>
        <x:v>0</x:v>
      </x:c>
    </x:row>
    <x:row r="197">
      <x:c r="A197" s="1"/>
      <x:c r="B197" s="5"/>
      <x:c r="C197" s="7" t="str">
        <x:f>IF(B197="","",YEAR(B197))</x:f>
      </x:c>
      <x:c r="D197" s="7" t="str">
        <x:f>IF(B197="","",INT((MONTH(B197)-1)/3)+1)</x:f>
      </x:c>
      <x:c r="E197" s="1"/>
      <x:c r="F197" s="1"/>
      <x:c r="G197" s="1"/>
      <x:c r="H197" s="1"/>
      <x:c r="I197" s="6"/>
      <x:c r="J197" s="6"/>
      <x:c r="K197" s="6"/>
      <x:c r="L197" s="8" t="str">
        <x:f>IF(I197="","",I197+J197-K197)</x:f>
      </x:c>
      <x:c r="M197" s="1"/>
      <x:c r="N197" s="1"/>
      <x:c r="O197" s="1"/>
      <x:c r="P197" s="1"/>
      <x:c r="Q197" s="7" t="n">
        <x:f>IF(AND(M197="Confirmado",ISNUMBER(I197)),I197,0)</x:f>
        <x:v>0</x:v>
      </x:c>
    </x:row>
    <x:row r="198">
      <x:c r="A198" s="1"/>
      <x:c r="B198" s="5"/>
      <x:c r="C198" s="7" t="str">
        <x:f>IF(B198="","",YEAR(B198))</x:f>
      </x:c>
      <x:c r="D198" s="7" t="str">
        <x:f>IF(B198="","",INT((MONTH(B198)-1)/3)+1)</x:f>
      </x:c>
      <x:c r="E198" s="1"/>
      <x:c r="F198" s="1"/>
      <x:c r="G198" s="1"/>
      <x:c r="H198" s="1"/>
      <x:c r="I198" s="6"/>
      <x:c r="J198" s="6"/>
      <x:c r="K198" s="6"/>
      <x:c r="L198" s="8" t="str">
        <x:f>IF(I198="","",I198+J198-K198)</x:f>
      </x:c>
      <x:c r="M198" s="1"/>
      <x:c r="N198" s="1"/>
      <x:c r="O198" s="1"/>
      <x:c r="P198" s="1"/>
      <x:c r="Q198" s="7" t="n">
        <x:f>IF(AND(M198="Confirmado",ISNUMBER(I198)),I198,0)</x:f>
        <x:v>0</x:v>
      </x:c>
    </x:row>
    <x:row r="199">
      <x:c r="A199" s="1"/>
      <x:c r="B199" s="5"/>
      <x:c r="C199" s="7" t="str">
        <x:f>IF(B199="","",YEAR(B199))</x:f>
      </x:c>
      <x:c r="D199" s="7" t="str">
        <x:f>IF(B199="","",INT((MONTH(B199)-1)/3)+1)</x:f>
      </x:c>
      <x:c r="E199" s="1"/>
      <x:c r="F199" s="1"/>
      <x:c r="G199" s="1"/>
      <x:c r="H199" s="1"/>
      <x:c r="I199" s="6"/>
      <x:c r="J199" s="6"/>
      <x:c r="K199" s="6"/>
      <x:c r="L199" s="8" t="str">
        <x:f>IF(I199="","",I199+J199-K199)</x:f>
      </x:c>
      <x:c r="M199" s="1"/>
      <x:c r="N199" s="1"/>
      <x:c r="O199" s="1"/>
      <x:c r="P199" s="1"/>
      <x:c r="Q199" s="7" t="n">
        <x:f>IF(AND(M199="Confirmado",ISNUMBER(I199)),I199,0)</x:f>
        <x:v>0</x:v>
      </x:c>
    </x:row>
    <x:row r="200">
      <x:c r="A200" s="1"/>
      <x:c r="B200" s="5"/>
      <x:c r="C200" s="7" t="str">
        <x:f>IF(B200="","",YEAR(B200))</x:f>
      </x:c>
      <x:c r="D200" s="7" t="str">
        <x:f>IF(B200="","",INT((MONTH(B200)-1)/3)+1)</x:f>
      </x:c>
      <x:c r="E200" s="1"/>
      <x:c r="F200" s="1"/>
      <x:c r="G200" s="1"/>
      <x:c r="H200" s="1"/>
      <x:c r="I200" s="6"/>
      <x:c r="J200" s="6"/>
      <x:c r="K200" s="6"/>
      <x:c r="L200" s="8" t="str">
        <x:f>IF(I200="","",I200+J200-K200)</x:f>
      </x:c>
      <x:c r="M200" s="1"/>
      <x:c r="N200" s="1"/>
      <x:c r="O200" s="1"/>
      <x:c r="P200" s="1"/>
      <x:c r="Q200" s="7" t="n">
        <x:f>IF(AND(M200="Confirmado",ISNUMBER(I200)),I200,0)</x:f>
        <x:v>0</x:v>
      </x:c>
    </x:row>
    <x:row r="201">
      <x:c r="A201" s="1"/>
      <x:c r="B201" s="5"/>
      <x:c r="C201" s="7" t="str">
        <x:f>IF(B201="","",YEAR(B201))</x:f>
      </x:c>
      <x:c r="D201" s="7" t="str">
        <x:f>IF(B201="","",INT((MONTH(B201)-1)/3)+1)</x:f>
      </x:c>
      <x:c r="E201" s="1"/>
      <x:c r="F201" s="1"/>
      <x:c r="G201" s="1"/>
      <x:c r="H201" s="1"/>
      <x:c r="I201" s="6"/>
      <x:c r="J201" s="6"/>
      <x:c r="K201" s="6"/>
      <x:c r="L201" s="8" t="str">
        <x:f>IF(I201="","",I201+J201-K201)</x:f>
      </x:c>
      <x:c r="M201" s="1"/>
      <x:c r="N201" s="1"/>
      <x:c r="O201" s="1"/>
      <x:c r="P201" s="1"/>
      <x:c r="Q201" s="7" t="n">
        <x:f>IF(AND(M201="Confirmado",ISNUMBER(I201)),I201,0)</x:f>
        <x:v>0</x:v>
      </x:c>
    </x:row>
  </x:sheetData>
  <x:dataValidations count="4">
    <x:dataValidation type="list" sqref="M2:M201">
      <x:formula1>"Pendiente,Confirmado,Excluido"</x:formula1>
    </x:dataValidation>
    <x:dataValidation type="list" sqref="N2:N201">
      <x:formula1>"Pendiente,Parcial,Completo"</x:formula1>
    </x:dataValidation>
    <x:dataValidation type="list" sqref="O2:O201">
      <x:formula1>"Transferencia,Tarjeta,Bizum,Efectivo,Plataforma,Otro"</x:formula1>
    </x:dataValidation>
    <x:dataValidation type="list" sqref="H2:H201">
      <x:formula1>"Servicios,Ventas,Suscripciones,Suministros,Existencias,Bien de inversión,Seguridad Social,Otros,Revisar"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e77af29a6b48e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</x:cols>
  <x:sheetData>
    <x:row r="1" ht="44" customHeight="1">
      <x:c r="A1" s="4" t="str">
        <x:v>ID</x:v>
      </x:c>
      <x:c r="B1" s="4" t="str">
        <x:v>Fecha devengo</x:v>
      </x:c>
      <x:c r="C1" s="4" t="str">
        <x:v>Año</x:v>
      </x:c>
      <x:c r="D1" s="4" t="str">
        <x:v>Trimestre</x:v>
      </x:c>
      <x:c r="E1" s="4" t="str">
        <x:v>Factura</x:v>
      </x:c>
      <x:c r="F1" s="4" t="str">
        <x:v>Proveedor</x:v>
      </x:c>
      <x:c r="G1" s="4" t="str">
        <x:v>Actividad</x:v>
      </x:c>
      <x:c r="H1" s="4" t="str">
        <x:v>Categoría</x:v>
      </x:c>
      <x:c r="I1" s="4" t="str">
        <x:v>Base</x:v>
      </x:c>
      <x:c r="J1" s="4" t="str">
        <x:v>IVA soportado</x:v>
      </x:c>
      <x:c r="K1" s="4" t="str">
        <x:v>Retención IRPF</x:v>
      </x:c>
      <x:c r="L1" s="4" t="str">
        <x:v>Total factura</x:v>
      </x:c>
      <x:c r="M1" s="4" t="str">
        <x:v>Estado revisión</x:v>
      </x:c>
      <x:c r="N1" s="4" t="str">
        <x:v>Pago</x:v>
      </x:c>
      <x:c r="O1" s="4" t="str">
        <x:v>Método</x:v>
      </x:c>
      <x:c r="P1" s="4" t="str">
        <x:v>Notas</x:v>
      </x:c>
      <x:c r="Q1" s="4" t="str">
        <x:v>Gasto IRPF aprobado</x:v>
      </x:c>
      <x:c r="R1" s="4" t="str">
        <x:v>IVA deducible aprobado</x:v>
      </x:c>
      <x:c r="S1" s="4" t="str">
        <x:v>Gasto IRPF confirmado</x:v>
      </x:c>
      <x:c r="T1" s="4" t="str">
        <x:v>IVA deducible confirmado</x:v>
      </x:c>
    </x:row>
    <x:row r="2">
      <x:c r="A2" s="1"/>
      <x:c r="B2" s="5"/>
      <x:c r="C2" s="7" t="str">
        <x:f>IF(B2="","",YEAR(B2))</x:f>
      </x:c>
      <x:c r="D2" s="7" t="str">
        <x:f>IF(B2="","",INT((MONTH(B2)-1)/3)+1)</x:f>
      </x:c>
      <x:c r="E2" s="1"/>
      <x:c r="F2" s="1"/>
      <x:c r="G2" s="1"/>
      <x:c r="H2" s="1"/>
      <x:c r="I2" s="6"/>
      <x:c r="J2" s="6"/>
      <x:c r="K2" s="6"/>
      <x:c r="L2" s="8" t="str">
        <x:f>IF(I2="","",I2+J2-K2)</x:f>
      </x:c>
      <x:c r="M2" s="1"/>
      <x:c r="N2" s="1"/>
      <x:c r="O2" s="1"/>
      <x:c r="P2" s="1"/>
      <x:c r="Q2" s="6"/>
      <x:c r="R2" s="6"/>
      <x:c r="S2" s="8" t="n">
        <x:f>IF(AND(M2="Confirmado",ISNUMBER(Q2)),Q2,0)</x:f>
        <x:v>0</x:v>
      </x:c>
      <x:c r="T2" s="8" t="n">
        <x:f>IF(AND(M2="Confirmado",ISNUMBER(R2)),R2,0)</x:f>
        <x:v>0</x:v>
      </x:c>
    </x:row>
    <x:row r="3">
      <x:c r="A3" s="1"/>
      <x:c r="B3" s="5"/>
      <x:c r="C3" s="7" t="str">
        <x:f>IF(B3="","",YEAR(B3))</x:f>
      </x:c>
      <x:c r="D3" s="7" t="str">
        <x:f>IF(B3="","",INT((MONTH(B3)-1)/3)+1)</x:f>
      </x:c>
      <x:c r="E3" s="1"/>
      <x:c r="F3" s="1"/>
      <x:c r="G3" s="1"/>
      <x:c r="H3" s="1"/>
      <x:c r="I3" s="6"/>
      <x:c r="J3" s="6"/>
      <x:c r="K3" s="6"/>
      <x:c r="L3" s="8" t="str">
        <x:f>IF(I3="","",I3+J3-K3)</x:f>
      </x:c>
      <x:c r="M3" s="1"/>
      <x:c r="N3" s="1"/>
      <x:c r="O3" s="1"/>
      <x:c r="P3" s="1"/>
      <x:c r="Q3" s="6"/>
      <x:c r="R3" s="6"/>
      <x:c r="S3" s="8" t="n">
        <x:f>IF(AND(M3="Confirmado",ISNUMBER(Q3)),Q3,0)</x:f>
        <x:v>0</x:v>
      </x:c>
      <x:c r="T3" s="8" t="n">
        <x:f>IF(AND(M3="Confirmado",ISNUMBER(R3)),R3,0)</x:f>
        <x:v>0</x:v>
      </x:c>
    </x:row>
    <x:row r="4">
      <x:c r="A4" s="1"/>
      <x:c r="B4" s="5"/>
      <x:c r="C4" s="7" t="str">
        <x:f>IF(B4="","",YEAR(B4))</x:f>
      </x:c>
      <x:c r="D4" s="7" t="str">
        <x:f>IF(B4="","",INT((MONTH(B4)-1)/3)+1)</x:f>
      </x:c>
      <x:c r="E4" s="1"/>
      <x:c r="F4" s="1"/>
      <x:c r="G4" s="1"/>
      <x:c r="H4" s="1"/>
      <x:c r="I4" s="6"/>
      <x:c r="J4" s="6"/>
      <x:c r="K4" s="6"/>
      <x:c r="L4" s="8" t="str">
        <x:f>IF(I4="","",I4+J4-K4)</x:f>
      </x:c>
      <x:c r="M4" s="1"/>
      <x:c r="N4" s="1"/>
      <x:c r="O4" s="1"/>
      <x:c r="P4" s="1"/>
      <x:c r="Q4" s="6"/>
      <x:c r="R4" s="6"/>
      <x:c r="S4" s="8" t="n">
        <x:f>IF(AND(M4="Confirmado",ISNUMBER(Q4)),Q4,0)</x:f>
        <x:v>0</x:v>
      </x:c>
      <x:c r="T4" s="8" t="n">
        <x:f>IF(AND(M4="Confirmado",ISNUMBER(R4)),R4,0)</x:f>
        <x:v>0</x:v>
      </x:c>
    </x:row>
    <x:row r="5">
      <x:c r="A5" s="1"/>
      <x:c r="B5" s="5"/>
      <x:c r="C5" s="7" t="str">
        <x:f>IF(B5="","",YEAR(B5))</x:f>
      </x:c>
      <x:c r="D5" s="7" t="str">
        <x:f>IF(B5="","",INT((MONTH(B5)-1)/3)+1)</x:f>
      </x:c>
      <x:c r="E5" s="1"/>
      <x:c r="F5" s="1"/>
      <x:c r="G5" s="1"/>
      <x:c r="H5" s="1"/>
      <x:c r="I5" s="6"/>
      <x:c r="J5" s="6"/>
      <x:c r="K5" s="6"/>
      <x:c r="L5" s="8" t="str">
        <x:f>IF(I5="","",I5+J5-K5)</x:f>
      </x:c>
      <x:c r="M5" s="1"/>
      <x:c r="N5" s="1"/>
      <x:c r="O5" s="1"/>
      <x:c r="P5" s="1"/>
      <x:c r="Q5" s="6"/>
      <x:c r="R5" s="6"/>
      <x:c r="S5" s="8" t="n">
        <x:f>IF(AND(M5="Confirmado",ISNUMBER(Q5)),Q5,0)</x:f>
        <x:v>0</x:v>
      </x:c>
      <x:c r="T5" s="8" t="n">
        <x:f>IF(AND(M5="Confirmado",ISNUMBER(R5)),R5,0)</x:f>
        <x:v>0</x:v>
      </x:c>
    </x:row>
    <x:row r="6">
      <x:c r="A6" s="1"/>
      <x:c r="B6" s="5"/>
      <x:c r="C6" s="7" t="str">
        <x:f>IF(B6="","",YEAR(B6))</x:f>
      </x:c>
      <x:c r="D6" s="7" t="str">
        <x:f>IF(B6="","",INT((MONTH(B6)-1)/3)+1)</x:f>
      </x:c>
      <x:c r="E6" s="1"/>
      <x:c r="F6" s="1"/>
      <x:c r="G6" s="1"/>
      <x:c r="H6" s="1"/>
      <x:c r="I6" s="6"/>
      <x:c r="J6" s="6"/>
      <x:c r="K6" s="6"/>
      <x:c r="L6" s="8" t="str">
        <x:f>IF(I6="","",I6+J6-K6)</x:f>
      </x:c>
      <x:c r="M6" s="1"/>
      <x:c r="N6" s="1"/>
      <x:c r="O6" s="1"/>
      <x:c r="P6" s="1"/>
      <x:c r="Q6" s="6"/>
      <x:c r="R6" s="6"/>
      <x:c r="S6" s="8" t="n">
        <x:f>IF(AND(M6="Confirmado",ISNUMBER(Q6)),Q6,0)</x:f>
        <x:v>0</x:v>
      </x:c>
      <x:c r="T6" s="8" t="n">
        <x:f>IF(AND(M6="Confirmado",ISNUMBER(R6)),R6,0)</x:f>
        <x:v>0</x:v>
      </x:c>
    </x:row>
    <x:row r="7">
      <x:c r="A7" s="1"/>
      <x:c r="B7" s="5"/>
      <x:c r="C7" s="7" t="str">
        <x:f>IF(B7="","",YEAR(B7))</x:f>
      </x:c>
      <x:c r="D7" s="7" t="str">
        <x:f>IF(B7="","",INT((MONTH(B7)-1)/3)+1)</x:f>
      </x:c>
      <x:c r="E7" s="1"/>
      <x:c r="F7" s="1"/>
      <x:c r="G7" s="1"/>
      <x:c r="H7" s="1"/>
      <x:c r="I7" s="6"/>
      <x:c r="J7" s="6"/>
      <x:c r="K7" s="6"/>
      <x:c r="L7" s="8" t="str">
        <x:f>IF(I7="","",I7+J7-K7)</x:f>
      </x:c>
      <x:c r="M7" s="1"/>
      <x:c r="N7" s="1"/>
      <x:c r="O7" s="1"/>
      <x:c r="P7" s="1"/>
      <x:c r="Q7" s="6"/>
      <x:c r="R7" s="6"/>
      <x:c r="S7" s="8" t="n">
        <x:f>IF(AND(M7="Confirmado",ISNUMBER(Q7)),Q7,0)</x:f>
        <x:v>0</x:v>
      </x:c>
      <x:c r="T7" s="8" t="n">
        <x:f>IF(AND(M7="Confirmado",ISNUMBER(R7)),R7,0)</x:f>
        <x:v>0</x:v>
      </x:c>
    </x:row>
    <x:row r="8">
      <x:c r="A8" s="1"/>
      <x:c r="B8" s="5"/>
      <x:c r="C8" s="7" t="str">
        <x:f>IF(B8="","",YEAR(B8))</x:f>
      </x:c>
      <x:c r="D8" s="7" t="str">
        <x:f>IF(B8="","",INT((MONTH(B8)-1)/3)+1)</x:f>
      </x:c>
      <x:c r="E8" s="1"/>
      <x:c r="F8" s="1"/>
      <x:c r="G8" s="1"/>
      <x:c r="H8" s="1"/>
      <x:c r="I8" s="6"/>
      <x:c r="J8" s="6"/>
      <x:c r="K8" s="6"/>
      <x:c r="L8" s="8" t="str">
        <x:f>IF(I8="","",I8+J8-K8)</x:f>
      </x:c>
      <x:c r="M8" s="1"/>
      <x:c r="N8" s="1"/>
      <x:c r="O8" s="1"/>
      <x:c r="P8" s="1"/>
      <x:c r="Q8" s="6"/>
      <x:c r="R8" s="6"/>
      <x:c r="S8" s="8" t="n">
        <x:f>IF(AND(M8="Confirmado",ISNUMBER(Q8)),Q8,0)</x:f>
        <x:v>0</x:v>
      </x:c>
      <x:c r="T8" s="8" t="n">
        <x:f>IF(AND(M8="Confirmado",ISNUMBER(R8)),R8,0)</x:f>
        <x:v>0</x:v>
      </x:c>
    </x:row>
    <x:row r="9">
      <x:c r="A9" s="1"/>
      <x:c r="B9" s="5"/>
      <x:c r="C9" s="7" t="str">
        <x:f>IF(B9="","",YEAR(B9))</x:f>
      </x:c>
      <x:c r="D9" s="7" t="str">
        <x:f>IF(B9="","",INT((MONTH(B9)-1)/3)+1)</x:f>
      </x:c>
      <x:c r="E9" s="1"/>
      <x:c r="F9" s="1"/>
      <x:c r="G9" s="1"/>
      <x:c r="H9" s="1"/>
      <x:c r="I9" s="6"/>
      <x:c r="J9" s="6"/>
      <x:c r="K9" s="6"/>
      <x:c r="L9" s="8" t="str">
        <x:f>IF(I9="","",I9+J9-K9)</x:f>
      </x:c>
      <x:c r="M9" s="1"/>
      <x:c r="N9" s="1"/>
      <x:c r="O9" s="1"/>
      <x:c r="P9" s="1"/>
      <x:c r="Q9" s="6"/>
      <x:c r="R9" s="6"/>
      <x:c r="S9" s="8" t="n">
        <x:f>IF(AND(M9="Confirmado",ISNUMBER(Q9)),Q9,0)</x:f>
        <x:v>0</x:v>
      </x:c>
      <x:c r="T9" s="8" t="n">
        <x:f>IF(AND(M9="Confirmado",ISNUMBER(R9)),R9,0)</x:f>
        <x:v>0</x:v>
      </x:c>
    </x:row>
    <x:row r="10">
      <x:c r="A10" s="1"/>
      <x:c r="B10" s="5"/>
      <x:c r="C10" s="7" t="str">
        <x:f>IF(B10="","",YEAR(B10))</x:f>
      </x:c>
      <x:c r="D10" s="7" t="str">
        <x:f>IF(B10="","",INT((MONTH(B10)-1)/3)+1)</x:f>
      </x:c>
      <x:c r="E10" s="1"/>
      <x:c r="F10" s="1"/>
      <x:c r="G10" s="1"/>
      <x:c r="H10" s="1"/>
      <x:c r="I10" s="6"/>
      <x:c r="J10" s="6"/>
      <x:c r="K10" s="6"/>
      <x:c r="L10" s="8" t="str">
        <x:f>IF(I10="","",I10+J10-K10)</x:f>
      </x:c>
      <x:c r="M10" s="1"/>
      <x:c r="N10" s="1"/>
      <x:c r="O10" s="1"/>
      <x:c r="P10" s="1"/>
      <x:c r="Q10" s="6"/>
      <x:c r="R10" s="6"/>
      <x:c r="S10" s="8" t="n">
        <x:f>IF(AND(M10="Confirmado",ISNUMBER(Q10)),Q10,0)</x:f>
        <x:v>0</x:v>
      </x:c>
      <x:c r="T10" s="8" t="n">
        <x:f>IF(AND(M10="Confirmado",ISNUMBER(R10)),R10,0)</x:f>
        <x:v>0</x:v>
      </x:c>
    </x:row>
    <x:row r="11">
      <x:c r="A11" s="1"/>
      <x:c r="B11" s="5"/>
      <x:c r="C11" s="7" t="str">
        <x:f>IF(B11="","",YEAR(B11))</x:f>
      </x:c>
      <x:c r="D11" s="7" t="str">
        <x:f>IF(B11="","",INT((MONTH(B11)-1)/3)+1)</x:f>
      </x:c>
      <x:c r="E11" s="1"/>
      <x:c r="F11" s="1"/>
      <x:c r="G11" s="1"/>
      <x:c r="H11" s="1"/>
      <x:c r="I11" s="6"/>
      <x:c r="J11" s="6"/>
      <x:c r="K11" s="6"/>
      <x:c r="L11" s="8" t="str">
        <x:f>IF(I11="","",I11+J11-K11)</x:f>
      </x:c>
      <x:c r="M11" s="1"/>
      <x:c r="N11" s="1"/>
      <x:c r="O11" s="1"/>
      <x:c r="P11" s="1"/>
      <x:c r="Q11" s="6"/>
      <x:c r="R11" s="6"/>
      <x:c r="S11" s="8" t="n">
        <x:f>IF(AND(M11="Confirmado",ISNUMBER(Q11)),Q11,0)</x:f>
        <x:v>0</x:v>
      </x:c>
      <x:c r="T11" s="8" t="n">
        <x:f>IF(AND(M11="Confirmado",ISNUMBER(R11)),R11,0)</x:f>
        <x:v>0</x:v>
      </x:c>
    </x:row>
    <x:row r="12">
      <x:c r="A12" s="1"/>
      <x:c r="B12" s="5"/>
      <x:c r="C12" s="7" t="str">
        <x:f>IF(B12="","",YEAR(B12))</x:f>
      </x:c>
      <x:c r="D12" s="7" t="str">
        <x:f>IF(B12="","",INT((MONTH(B12)-1)/3)+1)</x:f>
      </x:c>
      <x:c r="E12" s="1"/>
      <x:c r="F12" s="1"/>
      <x:c r="G12" s="1"/>
      <x:c r="H12" s="1"/>
      <x:c r="I12" s="6"/>
      <x:c r="J12" s="6"/>
      <x:c r="K12" s="6"/>
      <x:c r="L12" s="8" t="str">
        <x:f>IF(I12="","",I12+J12-K12)</x:f>
      </x:c>
      <x:c r="M12" s="1"/>
      <x:c r="N12" s="1"/>
      <x:c r="O12" s="1"/>
      <x:c r="P12" s="1"/>
      <x:c r="Q12" s="6"/>
      <x:c r="R12" s="6"/>
      <x:c r="S12" s="8" t="n">
        <x:f>IF(AND(M12="Confirmado",ISNUMBER(Q12)),Q12,0)</x:f>
        <x:v>0</x:v>
      </x:c>
      <x:c r="T12" s="8" t="n">
        <x:f>IF(AND(M12="Confirmado",ISNUMBER(R12)),R12,0)</x:f>
        <x:v>0</x:v>
      </x:c>
    </x:row>
    <x:row r="13">
      <x:c r="A13" s="1"/>
      <x:c r="B13" s="5"/>
      <x:c r="C13" s="7" t="str">
        <x:f>IF(B13="","",YEAR(B13))</x:f>
      </x:c>
      <x:c r="D13" s="7" t="str">
        <x:f>IF(B13="","",INT((MONTH(B13)-1)/3)+1)</x:f>
      </x:c>
      <x:c r="E13" s="1"/>
      <x:c r="F13" s="1"/>
      <x:c r="G13" s="1"/>
      <x:c r="H13" s="1"/>
      <x:c r="I13" s="6"/>
      <x:c r="J13" s="6"/>
      <x:c r="K13" s="6"/>
      <x:c r="L13" s="8" t="str">
        <x:f>IF(I13="","",I13+J13-K13)</x:f>
      </x:c>
      <x:c r="M13" s="1"/>
      <x:c r="N13" s="1"/>
      <x:c r="O13" s="1"/>
      <x:c r="P13" s="1"/>
      <x:c r="Q13" s="6"/>
      <x:c r="R13" s="6"/>
      <x:c r="S13" s="8" t="n">
        <x:f>IF(AND(M13="Confirmado",ISNUMBER(Q13)),Q13,0)</x:f>
        <x:v>0</x:v>
      </x:c>
      <x:c r="T13" s="8" t="n">
        <x:f>IF(AND(M13="Confirmado",ISNUMBER(R13)),R13,0)</x:f>
        <x:v>0</x:v>
      </x:c>
    </x:row>
    <x:row r="14">
      <x:c r="A14" s="1"/>
      <x:c r="B14" s="5"/>
      <x:c r="C14" s="7" t="str">
        <x:f>IF(B14="","",YEAR(B14))</x:f>
      </x:c>
      <x:c r="D14" s="7" t="str">
        <x:f>IF(B14="","",INT((MONTH(B14)-1)/3)+1)</x:f>
      </x:c>
      <x:c r="E14" s="1"/>
      <x:c r="F14" s="1"/>
      <x:c r="G14" s="1"/>
      <x:c r="H14" s="1"/>
      <x:c r="I14" s="6"/>
      <x:c r="J14" s="6"/>
      <x:c r="K14" s="6"/>
      <x:c r="L14" s="8" t="str">
        <x:f>IF(I14="","",I14+J14-K14)</x:f>
      </x:c>
      <x:c r="M14" s="1"/>
      <x:c r="N14" s="1"/>
      <x:c r="O14" s="1"/>
      <x:c r="P14" s="1"/>
      <x:c r="Q14" s="6"/>
      <x:c r="R14" s="6"/>
      <x:c r="S14" s="8" t="n">
        <x:f>IF(AND(M14="Confirmado",ISNUMBER(Q14)),Q14,0)</x:f>
        <x:v>0</x:v>
      </x:c>
      <x:c r="T14" s="8" t="n">
        <x:f>IF(AND(M14="Confirmado",ISNUMBER(R14)),R14,0)</x:f>
        <x:v>0</x:v>
      </x:c>
    </x:row>
    <x:row r="15">
      <x:c r="A15" s="1"/>
      <x:c r="B15" s="5"/>
      <x:c r="C15" s="7" t="str">
        <x:f>IF(B15="","",YEAR(B15))</x:f>
      </x:c>
      <x:c r="D15" s="7" t="str">
        <x:f>IF(B15="","",INT((MONTH(B15)-1)/3)+1)</x:f>
      </x:c>
      <x:c r="E15" s="1"/>
      <x:c r="F15" s="1"/>
      <x:c r="G15" s="1"/>
      <x:c r="H15" s="1"/>
      <x:c r="I15" s="6"/>
      <x:c r="J15" s="6"/>
      <x:c r="K15" s="6"/>
      <x:c r="L15" s="8" t="str">
        <x:f>IF(I15="","",I15+J15-K15)</x:f>
      </x:c>
      <x:c r="M15" s="1"/>
      <x:c r="N15" s="1"/>
      <x:c r="O15" s="1"/>
      <x:c r="P15" s="1"/>
      <x:c r="Q15" s="6"/>
      <x:c r="R15" s="6"/>
      <x:c r="S15" s="8" t="n">
        <x:f>IF(AND(M15="Confirmado",ISNUMBER(Q15)),Q15,0)</x:f>
        <x:v>0</x:v>
      </x:c>
      <x:c r="T15" s="8" t="n">
        <x:f>IF(AND(M15="Confirmado",ISNUMBER(R15)),R15,0)</x:f>
        <x:v>0</x:v>
      </x:c>
    </x:row>
    <x:row r="16">
      <x:c r="A16" s="1"/>
      <x:c r="B16" s="5"/>
      <x:c r="C16" s="7" t="str">
        <x:f>IF(B16="","",YEAR(B16))</x:f>
      </x:c>
      <x:c r="D16" s="7" t="str">
        <x:f>IF(B16="","",INT((MONTH(B16)-1)/3)+1)</x:f>
      </x:c>
      <x:c r="E16" s="1"/>
      <x:c r="F16" s="1"/>
      <x:c r="G16" s="1"/>
      <x:c r="H16" s="1"/>
      <x:c r="I16" s="6"/>
      <x:c r="J16" s="6"/>
      <x:c r="K16" s="6"/>
      <x:c r="L16" s="8" t="str">
        <x:f>IF(I16="","",I16+J16-K16)</x:f>
      </x:c>
      <x:c r="M16" s="1"/>
      <x:c r="N16" s="1"/>
      <x:c r="O16" s="1"/>
      <x:c r="P16" s="1"/>
      <x:c r="Q16" s="6"/>
      <x:c r="R16" s="6"/>
      <x:c r="S16" s="8" t="n">
        <x:f>IF(AND(M16="Confirmado",ISNUMBER(Q16)),Q16,0)</x:f>
        <x:v>0</x:v>
      </x:c>
      <x:c r="T16" s="8" t="n">
        <x:f>IF(AND(M16="Confirmado",ISNUMBER(R16)),R16,0)</x:f>
        <x:v>0</x:v>
      </x:c>
    </x:row>
    <x:row r="17">
      <x:c r="A17" s="1"/>
      <x:c r="B17" s="5"/>
      <x:c r="C17" s="7" t="str">
        <x:f>IF(B17="","",YEAR(B17))</x:f>
      </x:c>
      <x:c r="D17" s="7" t="str">
        <x:f>IF(B17="","",INT((MONTH(B17)-1)/3)+1)</x:f>
      </x:c>
      <x:c r="E17" s="1"/>
      <x:c r="F17" s="1"/>
      <x:c r="G17" s="1"/>
      <x:c r="H17" s="1"/>
      <x:c r="I17" s="6"/>
      <x:c r="J17" s="6"/>
      <x:c r="K17" s="6"/>
      <x:c r="L17" s="8" t="str">
        <x:f>IF(I17="","",I17+J17-K17)</x:f>
      </x:c>
      <x:c r="M17" s="1"/>
      <x:c r="N17" s="1"/>
      <x:c r="O17" s="1"/>
      <x:c r="P17" s="1"/>
      <x:c r="Q17" s="6"/>
      <x:c r="R17" s="6"/>
      <x:c r="S17" s="8" t="n">
        <x:f>IF(AND(M17="Confirmado",ISNUMBER(Q17)),Q17,0)</x:f>
        <x:v>0</x:v>
      </x:c>
      <x:c r="T17" s="8" t="n">
        <x:f>IF(AND(M17="Confirmado",ISNUMBER(R17)),R17,0)</x:f>
        <x:v>0</x:v>
      </x:c>
    </x:row>
    <x:row r="18">
      <x:c r="A18" s="1"/>
      <x:c r="B18" s="5"/>
      <x:c r="C18" s="7" t="str">
        <x:f>IF(B18="","",YEAR(B18))</x:f>
      </x:c>
      <x:c r="D18" s="7" t="str">
        <x:f>IF(B18="","",INT((MONTH(B18)-1)/3)+1)</x:f>
      </x:c>
      <x:c r="E18" s="1"/>
      <x:c r="F18" s="1"/>
      <x:c r="G18" s="1"/>
      <x:c r="H18" s="1"/>
      <x:c r="I18" s="6"/>
      <x:c r="J18" s="6"/>
      <x:c r="K18" s="6"/>
      <x:c r="L18" s="8" t="str">
        <x:f>IF(I18="","",I18+J18-K18)</x:f>
      </x:c>
      <x:c r="M18" s="1"/>
      <x:c r="N18" s="1"/>
      <x:c r="O18" s="1"/>
      <x:c r="P18" s="1"/>
      <x:c r="Q18" s="6"/>
      <x:c r="R18" s="6"/>
      <x:c r="S18" s="8" t="n">
        <x:f>IF(AND(M18="Confirmado",ISNUMBER(Q18)),Q18,0)</x:f>
        <x:v>0</x:v>
      </x:c>
      <x:c r="T18" s="8" t="n">
        <x:f>IF(AND(M18="Confirmado",ISNUMBER(R18)),R18,0)</x:f>
        <x:v>0</x:v>
      </x:c>
    </x:row>
    <x:row r="19">
      <x:c r="A19" s="1"/>
      <x:c r="B19" s="5"/>
      <x:c r="C19" s="7" t="str">
        <x:f>IF(B19="","",YEAR(B19))</x:f>
      </x:c>
      <x:c r="D19" s="7" t="str">
        <x:f>IF(B19="","",INT((MONTH(B19)-1)/3)+1)</x:f>
      </x:c>
      <x:c r="E19" s="1"/>
      <x:c r="F19" s="1"/>
      <x:c r="G19" s="1"/>
      <x:c r="H19" s="1"/>
      <x:c r="I19" s="6"/>
      <x:c r="J19" s="6"/>
      <x:c r="K19" s="6"/>
      <x:c r="L19" s="8" t="str">
        <x:f>IF(I19="","",I19+J19-K19)</x:f>
      </x:c>
      <x:c r="M19" s="1"/>
      <x:c r="N19" s="1"/>
      <x:c r="O19" s="1"/>
      <x:c r="P19" s="1"/>
      <x:c r="Q19" s="6"/>
      <x:c r="R19" s="6"/>
      <x:c r="S19" s="8" t="n">
        <x:f>IF(AND(M19="Confirmado",ISNUMBER(Q19)),Q19,0)</x:f>
        <x:v>0</x:v>
      </x:c>
      <x:c r="T19" s="8" t="n">
        <x:f>IF(AND(M19="Confirmado",ISNUMBER(R19)),R19,0)</x:f>
        <x:v>0</x:v>
      </x:c>
    </x:row>
    <x:row r="20">
      <x:c r="A20" s="1"/>
      <x:c r="B20" s="5"/>
      <x:c r="C20" s="7" t="str">
        <x:f>IF(B20="","",YEAR(B20))</x:f>
      </x:c>
      <x:c r="D20" s="7" t="str">
        <x:f>IF(B20="","",INT((MONTH(B20)-1)/3)+1)</x:f>
      </x:c>
      <x:c r="E20" s="1"/>
      <x:c r="F20" s="1"/>
      <x:c r="G20" s="1"/>
      <x:c r="H20" s="1"/>
      <x:c r="I20" s="6"/>
      <x:c r="J20" s="6"/>
      <x:c r="K20" s="6"/>
      <x:c r="L20" s="8" t="str">
        <x:f>IF(I20="","",I20+J20-K20)</x:f>
      </x:c>
      <x:c r="M20" s="1"/>
      <x:c r="N20" s="1"/>
      <x:c r="O20" s="1"/>
      <x:c r="P20" s="1"/>
      <x:c r="Q20" s="6"/>
      <x:c r="R20" s="6"/>
      <x:c r="S20" s="8" t="n">
        <x:f>IF(AND(M20="Confirmado",ISNUMBER(Q20)),Q20,0)</x:f>
        <x:v>0</x:v>
      </x:c>
      <x:c r="T20" s="8" t="n">
        <x:f>IF(AND(M20="Confirmado",ISNUMBER(R20)),R20,0)</x:f>
        <x:v>0</x:v>
      </x:c>
    </x:row>
    <x:row r="21">
      <x:c r="A21" s="1"/>
      <x:c r="B21" s="5"/>
      <x:c r="C21" s="7" t="str">
        <x:f>IF(B21="","",YEAR(B21))</x:f>
      </x:c>
      <x:c r="D21" s="7" t="str">
        <x:f>IF(B21="","",INT((MONTH(B21)-1)/3)+1)</x:f>
      </x:c>
      <x:c r="E21" s="1"/>
      <x:c r="F21" s="1"/>
      <x:c r="G21" s="1"/>
      <x:c r="H21" s="1"/>
      <x:c r="I21" s="6"/>
      <x:c r="J21" s="6"/>
      <x:c r="K21" s="6"/>
      <x:c r="L21" s="8" t="str">
        <x:f>IF(I21="","",I21+J21-K21)</x:f>
      </x:c>
      <x:c r="M21" s="1"/>
      <x:c r="N21" s="1"/>
      <x:c r="O21" s="1"/>
      <x:c r="P21" s="1"/>
      <x:c r="Q21" s="6"/>
      <x:c r="R21" s="6"/>
      <x:c r="S21" s="8" t="n">
        <x:f>IF(AND(M21="Confirmado",ISNUMBER(Q21)),Q21,0)</x:f>
        <x:v>0</x:v>
      </x:c>
      <x:c r="T21" s="8" t="n">
        <x:f>IF(AND(M21="Confirmado",ISNUMBER(R21)),R21,0)</x:f>
        <x:v>0</x:v>
      </x:c>
    </x:row>
    <x:row r="22">
      <x:c r="A22" s="1"/>
      <x:c r="B22" s="5"/>
      <x:c r="C22" s="7" t="str">
        <x:f>IF(B22="","",YEAR(B22))</x:f>
      </x:c>
      <x:c r="D22" s="7" t="str">
        <x:f>IF(B22="","",INT((MONTH(B22)-1)/3)+1)</x:f>
      </x:c>
      <x:c r="E22" s="1"/>
      <x:c r="F22" s="1"/>
      <x:c r="G22" s="1"/>
      <x:c r="H22" s="1"/>
      <x:c r="I22" s="6"/>
      <x:c r="J22" s="6"/>
      <x:c r="K22" s="6"/>
      <x:c r="L22" s="8" t="str">
        <x:f>IF(I22="","",I22+J22-K22)</x:f>
      </x:c>
      <x:c r="M22" s="1"/>
      <x:c r="N22" s="1"/>
      <x:c r="O22" s="1"/>
      <x:c r="P22" s="1"/>
      <x:c r="Q22" s="6"/>
      <x:c r="R22" s="6"/>
      <x:c r="S22" s="8" t="n">
        <x:f>IF(AND(M22="Confirmado",ISNUMBER(Q22)),Q22,0)</x:f>
        <x:v>0</x:v>
      </x:c>
      <x:c r="T22" s="8" t="n">
        <x:f>IF(AND(M22="Confirmado",ISNUMBER(R22)),R22,0)</x:f>
        <x:v>0</x:v>
      </x:c>
    </x:row>
    <x:row r="23">
      <x:c r="A23" s="1"/>
      <x:c r="B23" s="5"/>
      <x:c r="C23" s="7" t="str">
        <x:f>IF(B23="","",YEAR(B23))</x:f>
      </x:c>
      <x:c r="D23" s="7" t="str">
        <x:f>IF(B23="","",INT((MONTH(B23)-1)/3)+1)</x:f>
      </x:c>
      <x:c r="E23" s="1"/>
      <x:c r="F23" s="1"/>
      <x:c r="G23" s="1"/>
      <x:c r="H23" s="1"/>
      <x:c r="I23" s="6"/>
      <x:c r="J23" s="6"/>
      <x:c r="K23" s="6"/>
      <x:c r="L23" s="8" t="str">
        <x:f>IF(I23="","",I23+J23-K23)</x:f>
      </x:c>
      <x:c r="M23" s="1"/>
      <x:c r="N23" s="1"/>
      <x:c r="O23" s="1"/>
      <x:c r="P23" s="1"/>
      <x:c r="Q23" s="6"/>
      <x:c r="R23" s="6"/>
      <x:c r="S23" s="8" t="n">
        <x:f>IF(AND(M23="Confirmado",ISNUMBER(Q23)),Q23,0)</x:f>
        <x:v>0</x:v>
      </x:c>
      <x:c r="T23" s="8" t="n">
        <x:f>IF(AND(M23="Confirmado",ISNUMBER(R23)),R23,0)</x:f>
        <x:v>0</x:v>
      </x:c>
    </x:row>
    <x:row r="24">
      <x:c r="A24" s="1"/>
      <x:c r="B24" s="5"/>
      <x:c r="C24" s="7" t="str">
        <x:f>IF(B24="","",YEAR(B24))</x:f>
      </x:c>
      <x:c r="D24" s="7" t="str">
        <x:f>IF(B24="","",INT((MONTH(B24)-1)/3)+1)</x:f>
      </x:c>
      <x:c r="E24" s="1"/>
      <x:c r="F24" s="1"/>
      <x:c r="G24" s="1"/>
      <x:c r="H24" s="1"/>
      <x:c r="I24" s="6"/>
      <x:c r="J24" s="6"/>
      <x:c r="K24" s="6"/>
      <x:c r="L24" s="8" t="str">
        <x:f>IF(I24="","",I24+J24-K24)</x:f>
      </x:c>
      <x:c r="M24" s="1"/>
      <x:c r="N24" s="1"/>
      <x:c r="O24" s="1"/>
      <x:c r="P24" s="1"/>
      <x:c r="Q24" s="6"/>
      <x:c r="R24" s="6"/>
      <x:c r="S24" s="8" t="n">
        <x:f>IF(AND(M24="Confirmado",ISNUMBER(Q24)),Q24,0)</x:f>
        <x:v>0</x:v>
      </x:c>
      <x:c r="T24" s="8" t="n">
        <x:f>IF(AND(M24="Confirmado",ISNUMBER(R24)),R24,0)</x:f>
        <x:v>0</x:v>
      </x:c>
    </x:row>
    <x:row r="25">
      <x:c r="A25" s="1"/>
      <x:c r="B25" s="5"/>
      <x:c r="C25" s="7" t="str">
        <x:f>IF(B25="","",YEAR(B25))</x:f>
      </x:c>
      <x:c r="D25" s="7" t="str">
        <x:f>IF(B25="","",INT((MONTH(B25)-1)/3)+1)</x:f>
      </x:c>
      <x:c r="E25" s="1"/>
      <x:c r="F25" s="1"/>
      <x:c r="G25" s="1"/>
      <x:c r="H25" s="1"/>
      <x:c r="I25" s="6"/>
      <x:c r="J25" s="6"/>
      <x:c r="K25" s="6"/>
      <x:c r="L25" s="8" t="str">
        <x:f>IF(I25="","",I25+J25-K25)</x:f>
      </x:c>
      <x:c r="M25" s="1"/>
      <x:c r="N25" s="1"/>
      <x:c r="O25" s="1"/>
      <x:c r="P25" s="1"/>
      <x:c r="Q25" s="6"/>
      <x:c r="R25" s="6"/>
      <x:c r="S25" s="8" t="n">
        <x:f>IF(AND(M25="Confirmado",ISNUMBER(Q25)),Q25,0)</x:f>
        <x:v>0</x:v>
      </x:c>
      <x:c r="T25" s="8" t="n">
        <x:f>IF(AND(M25="Confirmado",ISNUMBER(R25)),R25,0)</x:f>
        <x:v>0</x:v>
      </x:c>
    </x:row>
    <x:row r="26">
      <x:c r="A26" s="1"/>
      <x:c r="B26" s="5"/>
      <x:c r="C26" s="7" t="str">
        <x:f>IF(B26="","",YEAR(B26))</x:f>
      </x:c>
      <x:c r="D26" s="7" t="str">
        <x:f>IF(B26="","",INT((MONTH(B26)-1)/3)+1)</x:f>
      </x:c>
      <x:c r="E26" s="1"/>
      <x:c r="F26" s="1"/>
      <x:c r="G26" s="1"/>
      <x:c r="H26" s="1"/>
      <x:c r="I26" s="6"/>
      <x:c r="J26" s="6"/>
      <x:c r="K26" s="6"/>
      <x:c r="L26" s="8" t="str">
        <x:f>IF(I26="","",I26+J26-K26)</x:f>
      </x:c>
      <x:c r="M26" s="1"/>
      <x:c r="N26" s="1"/>
      <x:c r="O26" s="1"/>
      <x:c r="P26" s="1"/>
      <x:c r="Q26" s="6"/>
      <x:c r="R26" s="6"/>
      <x:c r="S26" s="8" t="n">
        <x:f>IF(AND(M26="Confirmado",ISNUMBER(Q26)),Q26,0)</x:f>
        <x:v>0</x:v>
      </x:c>
      <x:c r="T26" s="8" t="n">
        <x:f>IF(AND(M26="Confirmado",ISNUMBER(R26)),R26,0)</x:f>
        <x:v>0</x:v>
      </x:c>
    </x:row>
    <x:row r="27">
      <x:c r="A27" s="1"/>
      <x:c r="B27" s="5"/>
      <x:c r="C27" s="7" t="str">
        <x:f>IF(B27="","",YEAR(B27))</x:f>
      </x:c>
      <x:c r="D27" s="7" t="str">
        <x:f>IF(B27="","",INT((MONTH(B27)-1)/3)+1)</x:f>
      </x:c>
      <x:c r="E27" s="1"/>
      <x:c r="F27" s="1"/>
      <x:c r="G27" s="1"/>
      <x:c r="H27" s="1"/>
      <x:c r="I27" s="6"/>
      <x:c r="J27" s="6"/>
      <x:c r="K27" s="6"/>
      <x:c r="L27" s="8" t="str">
        <x:f>IF(I27="","",I27+J27-K27)</x:f>
      </x:c>
      <x:c r="M27" s="1"/>
      <x:c r="N27" s="1"/>
      <x:c r="O27" s="1"/>
      <x:c r="P27" s="1"/>
      <x:c r="Q27" s="6"/>
      <x:c r="R27" s="6"/>
      <x:c r="S27" s="8" t="n">
        <x:f>IF(AND(M27="Confirmado",ISNUMBER(Q27)),Q27,0)</x:f>
        <x:v>0</x:v>
      </x:c>
      <x:c r="T27" s="8" t="n">
        <x:f>IF(AND(M27="Confirmado",ISNUMBER(R27)),R27,0)</x:f>
        <x:v>0</x:v>
      </x:c>
    </x:row>
    <x:row r="28">
      <x:c r="A28" s="1"/>
      <x:c r="B28" s="5"/>
      <x:c r="C28" s="7" t="str">
        <x:f>IF(B28="","",YEAR(B28))</x:f>
      </x:c>
      <x:c r="D28" s="7" t="str">
        <x:f>IF(B28="","",INT((MONTH(B28)-1)/3)+1)</x:f>
      </x:c>
      <x:c r="E28" s="1"/>
      <x:c r="F28" s="1"/>
      <x:c r="G28" s="1"/>
      <x:c r="H28" s="1"/>
      <x:c r="I28" s="6"/>
      <x:c r="J28" s="6"/>
      <x:c r="K28" s="6"/>
      <x:c r="L28" s="8" t="str">
        <x:f>IF(I28="","",I28+J28-K28)</x:f>
      </x:c>
      <x:c r="M28" s="1"/>
      <x:c r="N28" s="1"/>
      <x:c r="O28" s="1"/>
      <x:c r="P28" s="1"/>
      <x:c r="Q28" s="6"/>
      <x:c r="R28" s="6"/>
      <x:c r="S28" s="8" t="n">
        <x:f>IF(AND(M28="Confirmado",ISNUMBER(Q28)),Q28,0)</x:f>
        <x:v>0</x:v>
      </x:c>
      <x:c r="T28" s="8" t="n">
        <x:f>IF(AND(M28="Confirmado",ISNUMBER(R28)),R28,0)</x:f>
        <x:v>0</x:v>
      </x:c>
    </x:row>
    <x:row r="29">
      <x:c r="A29" s="1"/>
      <x:c r="B29" s="5"/>
      <x:c r="C29" s="7" t="str">
        <x:f>IF(B29="","",YEAR(B29))</x:f>
      </x:c>
      <x:c r="D29" s="7" t="str">
        <x:f>IF(B29="","",INT((MONTH(B29)-1)/3)+1)</x:f>
      </x:c>
      <x:c r="E29" s="1"/>
      <x:c r="F29" s="1"/>
      <x:c r="G29" s="1"/>
      <x:c r="H29" s="1"/>
      <x:c r="I29" s="6"/>
      <x:c r="J29" s="6"/>
      <x:c r="K29" s="6"/>
      <x:c r="L29" s="8" t="str">
        <x:f>IF(I29="","",I29+J29-K29)</x:f>
      </x:c>
      <x:c r="M29" s="1"/>
      <x:c r="N29" s="1"/>
      <x:c r="O29" s="1"/>
      <x:c r="P29" s="1"/>
      <x:c r="Q29" s="6"/>
      <x:c r="R29" s="6"/>
      <x:c r="S29" s="8" t="n">
        <x:f>IF(AND(M29="Confirmado",ISNUMBER(Q29)),Q29,0)</x:f>
        <x:v>0</x:v>
      </x:c>
      <x:c r="T29" s="8" t="n">
        <x:f>IF(AND(M29="Confirmado",ISNUMBER(R29)),R29,0)</x:f>
        <x:v>0</x:v>
      </x:c>
    </x:row>
    <x:row r="30">
      <x:c r="A30" s="1"/>
      <x:c r="B30" s="5"/>
      <x:c r="C30" s="7" t="str">
        <x:f>IF(B30="","",YEAR(B30))</x:f>
      </x:c>
      <x:c r="D30" s="7" t="str">
        <x:f>IF(B30="","",INT((MONTH(B30)-1)/3)+1)</x:f>
      </x:c>
      <x:c r="E30" s="1"/>
      <x:c r="F30" s="1"/>
      <x:c r="G30" s="1"/>
      <x:c r="H30" s="1"/>
      <x:c r="I30" s="6"/>
      <x:c r="J30" s="6"/>
      <x:c r="K30" s="6"/>
      <x:c r="L30" s="8" t="str">
        <x:f>IF(I30="","",I30+J30-K30)</x:f>
      </x:c>
      <x:c r="M30" s="1"/>
      <x:c r="N30" s="1"/>
      <x:c r="O30" s="1"/>
      <x:c r="P30" s="1"/>
      <x:c r="Q30" s="6"/>
      <x:c r="R30" s="6"/>
      <x:c r="S30" s="8" t="n">
        <x:f>IF(AND(M30="Confirmado",ISNUMBER(Q30)),Q30,0)</x:f>
        <x:v>0</x:v>
      </x:c>
      <x:c r="T30" s="8" t="n">
        <x:f>IF(AND(M30="Confirmado",ISNUMBER(R30)),R30,0)</x:f>
        <x:v>0</x:v>
      </x:c>
    </x:row>
    <x:row r="31">
      <x:c r="A31" s="1"/>
      <x:c r="B31" s="5"/>
      <x:c r="C31" s="7" t="str">
        <x:f>IF(B31="","",YEAR(B31))</x:f>
      </x:c>
      <x:c r="D31" s="7" t="str">
        <x:f>IF(B31="","",INT((MONTH(B31)-1)/3)+1)</x:f>
      </x:c>
      <x:c r="E31" s="1"/>
      <x:c r="F31" s="1"/>
      <x:c r="G31" s="1"/>
      <x:c r="H31" s="1"/>
      <x:c r="I31" s="6"/>
      <x:c r="J31" s="6"/>
      <x:c r="K31" s="6"/>
      <x:c r="L31" s="8" t="str">
        <x:f>IF(I31="","",I31+J31-K31)</x:f>
      </x:c>
      <x:c r="M31" s="1"/>
      <x:c r="N31" s="1"/>
      <x:c r="O31" s="1"/>
      <x:c r="P31" s="1"/>
      <x:c r="Q31" s="6"/>
      <x:c r="R31" s="6"/>
      <x:c r="S31" s="8" t="n">
        <x:f>IF(AND(M31="Confirmado",ISNUMBER(Q31)),Q31,0)</x:f>
        <x:v>0</x:v>
      </x:c>
      <x:c r="T31" s="8" t="n">
        <x:f>IF(AND(M31="Confirmado",ISNUMBER(R31)),R31,0)</x:f>
        <x:v>0</x:v>
      </x:c>
    </x:row>
    <x:row r="32">
      <x:c r="A32" s="1"/>
      <x:c r="B32" s="5"/>
      <x:c r="C32" s="7" t="str">
        <x:f>IF(B32="","",YEAR(B32))</x:f>
      </x:c>
      <x:c r="D32" s="7" t="str">
        <x:f>IF(B32="","",INT((MONTH(B32)-1)/3)+1)</x:f>
      </x:c>
      <x:c r="E32" s="1"/>
      <x:c r="F32" s="1"/>
      <x:c r="G32" s="1"/>
      <x:c r="H32" s="1"/>
      <x:c r="I32" s="6"/>
      <x:c r="J32" s="6"/>
      <x:c r="K32" s="6"/>
      <x:c r="L32" s="8" t="str">
        <x:f>IF(I32="","",I32+J32-K32)</x:f>
      </x:c>
      <x:c r="M32" s="1"/>
      <x:c r="N32" s="1"/>
      <x:c r="O32" s="1"/>
      <x:c r="P32" s="1"/>
      <x:c r="Q32" s="6"/>
      <x:c r="R32" s="6"/>
      <x:c r="S32" s="8" t="n">
        <x:f>IF(AND(M32="Confirmado",ISNUMBER(Q32)),Q32,0)</x:f>
        <x:v>0</x:v>
      </x:c>
      <x:c r="T32" s="8" t="n">
        <x:f>IF(AND(M32="Confirmado",ISNUMBER(R32)),R32,0)</x:f>
        <x:v>0</x:v>
      </x:c>
    </x:row>
    <x:row r="33">
      <x:c r="A33" s="1"/>
      <x:c r="B33" s="5"/>
      <x:c r="C33" s="7" t="str">
        <x:f>IF(B33="","",YEAR(B33))</x:f>
      </x:c>
      <x:c r="D33" s="7" t="str">
        <x:f>IF(B33="","",INT((MONTH(B33)-1)/3)+1)</x:f>
      </x:c>
      <x:c r="E33" s="1"/>
      <x:c r="F33" s="1"/>
      <x:c r="G33" s="1"/>
      <x:c r="H33" s="1"/>
      <x:c r="I33" s="6"/>
      <x:c r="J33" s="6"/>
      <x:c r="K33" s="6"/>
      <x:c r="L33" s="8" t="str">
        <x:f>IF(I33="","",I33+J33-K33)</x:f>
      </x:c>
      <x:c r="M33" s="1"/>
      <x:c r="N33" s="1"/>
      <x:c r="O33" s="1"/>
      <x:c r="P33" s="1"/>
      <x:c r="Q33" s="6"/>
      <x:c r="R33" s="6"/>
      <x:c r="S33" s="8" t="n">
        <x:f>IF(AND(M33="Confirmado",ISNUMBER(Q33)),Q33,0)</x:f>
        <x:v>0</x:v>
      </x:c>
      <x:c r="T33" s="8" t="n">
        <x:f>IF(AND(M33="Confirmado",ISNUMBER(R33)),R33,0)</x:f>
        <x:v>0</x:v>
      </x:c>
    </x:row>
    <x:row r="34">
      <x:c r="A34" s="1"/>
      <x:c r="B34" s="5"/>
      <x:c r="C34" s="7" t="str">
        <x:f>IF(B34="","",YEAR(B34))</x:f>
      </x:c>
      <x:c r="D34" s="7" t="str">
        <x:f>IF(B34="","",INT((MONTH(B34)-1)/3)+1)</x:f>
      </x:c>
      <x:c r="E34" s="1"/>
      <x:c r="F34" s="1"/>
      <x:c r="G34" s="1"/>
      <x:c r="H34" s="1"/>
      <x:c r="I34" s="6"/>
      <x:c r="J34" s="6"/>
      <x:c r="K34" s="6"/>
      <x:c r="L34" s="8" t="str">
        <x:f>IF(I34="","",I34+J34-K34)</x:f>
      </x:c>
      <x:c r="M34" s="1"/>
      <x:c r="N34" s="1"/>
      <x:c r="O34" s="1"/>
      <x:c r="P34" s="1"/>
      <x:c r="Q34" s="6"/>
      <x:c r="R34" s="6"/>
      <x:c r="S34" s="8" t="n">
        <x:f>IF(AND(M34="Confirmado",ISNUMBER(Q34)),Q34,0)</x:f>
        <x:v>0</x:v>
      </x:c>
      <x:c r="T34" s="8" t="n">
        <x:f>IF(AND(M34="Confirmado",ISNUMBER(R34)),R34,0)</x:f>
        <x:v>0</x:v>
      </x:c>
    </x:row>
    <x:row r="35">
      <x:c r="A35" s="1"/>
      <x:c r="B35" s="5"/>
      <x:c r="C35" s="7" t="str">
        <x:f>IF(B35="","",YEAR(B35))</x:f>
      </x:c>
      <x:c r="D35" s="7" t="str">
        <x:f>IF(B35="","",INT((MONTH(B35)-1)/3)+1)</x:f>
      </x:c>
      <x:c r="E35" s="1"/>
      <x:c r="F35" s="1"/>
      <x:c r="G35" s="1"/>
      <x:c r="H35" s="1"/>
      <x:c r="I35" s="6"/>
      <x:c r="J35" s="6"/>
      <x:c r="K35" s="6"/>
      <x:c r="L35" s="8" t="str">
        <x:f>IF(I35="","",I35+J35-K35)</x:f>
      </x:c>
      <x:c r="M35" s="1"/>
      <x:c r="N35" s="1"/>
      <x:c r="O35" s="1"/>
      <x:c r="P35" s="1"/>
      <x:c r="Q35" s="6"/>
      <x:c r="R35" s="6"/>
      <x:c r="S35" s="8" t="n">
        <x:f>IF(AND(M35="Confirmado",ISNUMBER(Q35)),Q35,0)</x:f>
        <x:v>0</x:v>
      </x:c>
      <x:c r="T35" s="8" t="n">
        <x:f>IF(AND(M35="Confirmado",ISNUMBER(R35)),R35,0)</x:f>
        <x:v>0</x:v>
      </x:c>
    </x:row>
    <x:row r="36">
      <x:c r="A36" s="1"/>
      <x:c r="B36" s="5"/>
      <x:c r="C36" s="7" t="str">
        <x:f>IF(B36="","",YEAR(B36))</x:f>
      </x:c>
      <x:c r="D36" s="7" t="str">
        <x:f>IF(B36="","",INT((MONTH(B36)-1)/3)+1)</x:f>
      </x:c>
      <x:c r="E36" s="1"/>
      <x:c r="F36" s="1"/>
      <x:c r="G36" s="1"/>
      <x:c r="H36" s="1"/>
      <x:c r="I36" s="6"/>
      <x:c r="J36" s="6"/>
      <x:c r="K36" s="6"/>
      <x:c r="L36" s="8" t="str">
        <x:f>IF(I36="","",I36+J36-K36)</x:f>
      </x:c>
      <x:c r="M36" s="1"/>
      <x:c r="N36" s="1"/>
      <x:c r="O36" s="1"/>
      <x:c r="P36" s="1"/>
      <x:c r="Q36" s="6"/>
      <x:c r="R36" s="6"/>
      <x:c r="S36" s="8" t="n">
        <x:f>IF(AND(M36="Confirmado",ISNUMBER(Q36)),Q36,0)</x:f>
        <x:v>0</x:v>
      </x:c>
      <x:c r="T36" s="8" t="n">
        <x:f>IF(AND(M36="Confirmado",ISNUMBER(R36)),R36,0)</x:f>
        <x:v>0</x:v>
      </x:c>
    </x:row>
    <x:row r="37">
      <x:c r="A37" s="1"/>
      <x:c r="B37" s="5"/>
      <x:c r="C37" s="7" t="str">
        <x:f>IF(B37="","",YEAR(B37))</x:f>
      </x:c>
      <x:c r="D37" s="7" t="str">
        <x:f>IF(B37="","",INT((MONTH(B37)-1)/3)+1)</x:f>
      </x:c>
      <x:c r="E37" s="1"/>
      <x:c r="F37" s="1"/>
      <x:c r="G37" s="1"/>
      <x:c r="H37" s="1"/>
      <x:c r="I37" s="6"/>
      <x:c r="J37" s="6"/>
      <x:c r="K37" s="6"/>
      <x:c r="L37" s="8" t="str">
        <x:f>IF(I37="","",I37+J37-K37)</x:f>
      </x:c>
      <x:c r="M37" s="1"/>
      <x:c r="N37" s="1"/>
      <x:c r="O37" s="1"/>
      <x:c r="P37" s="1"/>
      <x:c r="Q37" s="6"/>
      <x:c r="R37" s="6"/>
      <x:c r="S37" s="8" t="n">
        <x:f>IF(AND(M37="Confirmado",ISNUMBER(Q37)),Q37,0)</x:f>
        <x:v>0</x:v>
      </x:c>
      <x:c r="T37" s="8" t="n">
        <x:f>IF(AND(M37="Confirmado",ISNUMBER(R37)),R37,0)</x:f>
        <x:v>0</x:v>
      </x:c>
    </x:row>
    <x:row r="38">
      <x:c r="A38" s="1"/>
      <x:c r="B38" s="5"/>
      <x:c r="C38" s="7" t="str">
        <x:f>IF(B38="","",YEAR(B38))</x:f>
      </x:c>
      <x:c r="D38" s="7" t="str">
        <x:f>IF(B38="","",INT((MONTH(B38)-1)/3)+1)</x:f>
      </x:c>
      <x:c r="E38" s="1"/>
      <x:c r="F38" s="1"/>
      <x:c r="G38" s="1"/>
      <x:c r="H38" s="1"/>
      <x:c r="I38" s="6"/>
      <x:c r="J38" s="6"/>
      <x:c r="K38" s="6"/>
      <x:c r="L38" s="8" t="str">
        <x:f>IF(I38="","",I38+J38-K38)</x:f>
      </x:c>
      <x:c r="M38" s="1"/>
      <x:c r="N38" s="1"/>
      <x:c r="O38" s="1"/>
      <x:c r="P38" s="1"/>
      <x:c r="Q38" s="6"/>
      <x:c r="R38" s="6"/>
      <x:c r="S38" s="8" t="n">
        <x:f>IF(AND(M38="Confirmado",ISNUMBER(Q38)),Q38,0)</x:f>
        <x:v>0</x:v>
      </x:c>
      <x:c r="T38" s="8" t="n">
        <x:f>IF(AND(M38="Confirmado",ISNUMBER(R38)),R38,0)</x:f>
        <x:v>0</x:v>
      </x:c>
    </x:row>
    <x:row r="39">
      <x:c r="A39" s="1"/>
      <x:c r="B39" s="5"/>
      <x:c r="C39" s="7" t="str">
        <x:f>IF(B39="","",YEAR(B39))</x:f>
      </x:c>
      <x:c r="D39" s="7" t="str">
        <x:f>IF(B39="","",INT((MONTH(B39)-1)/3)+1)</x:f>
      </x:c>
      <x:c r="E39" s="1"/>
      <x:c r="F39" s="1"/>
      <x:c r="G39" s="1"/>
      <x:c r="H39" s="1"/>
      <x:c r="I39" s="6"/>
      <x:c r="J39" s="6"/>
      <x:c r="K39" s="6"/>
      <x:c r="L39" s="8" t="str">
        <x:f>IF(I39="","",I39+J39-K39)</x:f>
      </x:c>
      <x:c r="M39" s="1"/>
      <x:c r="N39" s="1"/>
      <x:c r="O39" s="1"/>
      <x:c r="P39" s="1"/>
      <x:c r="Q39" s="6"/>
      <x:c r="R39" s="6"/>
      <x:c r="S39" s="8" t="n">
        <x:f>IF(AND(M39="Confirmado",ISNUMBER(Q39)),Q39,0)</x:f>
        <x:v>0</x:v>
      </x:c>
      <x:c r="T39" s="8" t="n">
        <x:f>IF(AND(M39="Confirmado",ISNUMBER(R39)),R39,0)</x:f>
        <x:v>0</x:v>
      </x:c>
    </x:row>
    <x:row r="40">
      <x:c r="A40" s="1"/>
      <x:c r="B40" s="5"/>
      <x:c r="C40" s="7" t="str">
        <x:f>IF(B40="","",YEAR(B40))</x:f>
      </x:c>
      <x:c r="D40" s="7" t="str">
        <x:f>IF(B40="","",INT((MONTH(B40)-1)/3)+1)</x:f>
      </x:c>
      <x:c r="E40" s="1"/>
      <x:c r="F40" s="1"/>
      <x:c r="G40" s="1"/>
      <x:c r="H40" s="1"/>
      <x:c r="I40" s="6"/>
      <x:c r="J40" s="6"/>
      <x:c r="K40" s="6"/>
      <x:c r="L40" s="8" t="str">
        <x:f>IF(I40="","",I40+J40-K40)</x:f>
      </x:c>
      <x:c r="M40" s="1"/>
      <x:c r="N40" s="1"/>
      <x:c r="O40" s="1"/>
      <x:c r="P40" s="1"/>
      <x:c r="Q40" s="6"/>
      <x:c r="R40" s="6"/>
      <x:c r="S40" s="8" t="n">
        <x:f>IF(AND(M40="Confirmado",ISNUMBER(Q40)),Q40,0)</x:f>
        <x:v>0</x:v>
      </x:c>
      <x:c r="T40" s="8" t="n">
        <x:f>IF(AND(M40="Confirmado",ISNUMBER(R40)),R40,0)</x:f>
        <x:v>0</x:v>
      </x:c>
    </x:row>
    <x:row r="41">
      <x:c r="A41" s="1"/>
      <x:c r="B41" s="5"/>
      <x:c r="C41" s="7" t="str">
        <x:f>IF(B41="","",YEAR(B41))</x:f>
      </x:c>
      <x:c r="D41" s="7" t="str">
        <x:f>IF(B41="","",INT((MONTH(B41)-1)/3)+1)</x:f>
      </x:c>
      <x:c r="E41" s="1"/>
      <x:c r="F41" s="1"/>
      <x:c r="G41" s="1"/>
      <x:c r="H41" s="1"/>
      <x:c r="I41" s="6"/>
      <x:c r="J41" s="6"/>
      <x:c r="K41" s="6"/>
      <x:c r="L41" s="8" t="str">
        <x:f>IF(I41="","",I41+J41-K41)</x:f>
      </x:c>
      <x:c r="M41" s="1"/>
      <x:c r="N41" s="1"/>
      <x:c r="O41" s="1"/>
      <x:c r="P41" s="1"/>
      <x:c r="Q41" s="6"/>
      <x:c r="R41" s="6"/>
      <x:c r="S41" s="8" t="n">
        <x:f>IF(AND(M41="Confirmado",ISNUMBER(Q41)),Q41,0)</x:f>
        <x:v>0</x:v>
      </x:c>
      <x:c r="T41" s="8" t="n">
        <x:f>IF(AND(M41="Confirmado",ISNUMBER(R41)),R41,0)</x:f>
        <x:v>0</x:v>
      </x:c>
    </x:row>
    <x:row r="42">
      <x:c r="A42" s="1"/>
      <x:c r="B42" s="5"/>
      <x:c r="C42" s="7" t="str">
        <x:f>IF(B42="","",YEAR(B42))</x:f>
      </x:c>
      <x:c r="D42" s="7" t="str">
        <x:f>IF(B42="","",INT((MONTH(B42)-1)/3)+1)</x:f>
      </x:c>
      <x:c r="E42" s="1"/>
      <x:c r="F42" s="1"/>
      <x:c r="G42" s="1"/>
      <x:c r="H42" s="1"/>
      <x:c r="I42" s="6"/>
      <x:c r="J42" s="6"/>
      <x:c r="K42" s="6"/>
      <x:c r="L42" s="8" t="str">
        <x:f>IF(I42="","",I42+J42-K42)</x:f>
      </x:c>
      <x:c r="M42" s="1"/>
      <x:c r="N42" s="1"/>
      <x:c r="O42" s="1"/>
      <x:c r="P42" s="1"/>
      <x:c r="Q42" s="6"/>
      <x:c r="R42" s="6"/>
      <x:c r="S42" s="8" t="n">
        <x:f>IF(AND(M42="Confirmado",ISNUMBER(Q42)),Q42,0)</x:f>
        <x:v>0</x:v>
      </x:c>
      <x:c r="T42" s="8" t="n">
        <x:f>IF(AND(M42="Confirmado",ISNUMBER(R42)),R42,0)</x:f>
        <x:v>0</x:v>
      </x:c>
    </x:row>
    <x:row r="43">
      <x:c r="A43" s="1"/>
      <x:c r="B43" s="5"/>
      <x:c r="C43" s="7" t="str">
        <x:f>IF(B43="","",YEAR(B43))</x:f>
      </x:c>
      <x:c r="D43" s="7" t="str">
        <x:f>IF(B43="","",INT((MONTH(B43)-1)/3)+1)</x:f>
      </x:c>
      <x:c r="E43" s="1"/>
      <x:c r="F43" s="1"/>
      <x:c r="G43" s="1"/>
      <x:c r="H43" s="1"/>
      <x:c r="I43" s="6"/>
      <x:c r="J43" s="6"/>
      <x:c r="K43" s="6"/>
      <x:c r="L43" s="8" t="str">
        <x:f>IF(I43="","",I43+J43-K43)</x:f>
      </x:c>
      <x:c r="M43" s="1"/>
      <x:c r="N43" s="1"/>
      <x:c r="O43" s="1"/>
      <x:c r="P43" s="1"/>
      <x:c r="Q43" s="6"/>
      <x:c r="R43" s="6"/>
      <x:c r="S43" s="8" t="n">
        <x:f>IF(AND(M43="Confirmado",ISNUMBER(Q43)),Q43,0)</x:f>
        <x:v>0</x:v>
      </x:c>
      <x:c r="T43" s="8" t="n">
        <x:f>IF(AND(M43="Confirmado",ISNUMBER(R43)),R43,0)</x:f>
        <x:v>0</x:v>
      </x:c>
    </x:row>
    <x:row r="44">
      <x:c r="A44" s="1"/>
      <x:c r="B44" s="5"/>
      <x:c r="C44" s="7" t="str">
        <x:f>IF(B44="","",YEAR(B44))</x:f>
      </x:c>
      <x:c r="D44" s="7" t="str">
        <x:f>IF(B44="","",INT((MONTH(B44)-1)/3)+1)</x:f>
      </x:c>
      <x:c r="E44" s="1"/>
      <x:c r="F44" s="1"/>
      <x:c r="G44" s="1"/>
      <x:c r="H44" s="1"/>
      <x:c r="I44" s="6"/>
      <x:c r="J44" s="6"/>
      <x:c r="K44" s="6"/>
      <x:c r="L44" s="8" t="str">
        <x:f>IF(I44="","",I44+J44-K44)</x:f>
      </x:c>
      <x:c r="M44" s="1"/>
      <x:c r="N44" s="1"/>
      <x:c r="O44" s="1"/>
      <x:c r="P44" s="1"/>
      <x:c r="Q44" s="6"/>
      <x:c r="R44" s="6"/>
      <x:c r="S44" s="8" t="n">
        <x:f>IF(AND(M44="Confirmado",ISNUMBER(Q44)),Q44,0)</x:f>
        <x:v>0</x:v>
      </x:c>
      <x:c r="T44" s="8" t="n">
        <x:f>IF(AND(M44="Confirmado",ISNUMBER(R44)),R44,0)</x:f>
        <x:v>0</x:v>
      </x:c>
    </x:row>
    <x:row r="45">
      <x:c r="A45" s="1"/>
      <x:c r="B45" s="5"/>
      <x:c r="C45" s="7" t="str">
        <x:f>IF(B45="","",YEAR(B45))</x:f>
      </x:c>
      <x:c r="D45" s="7" t="str">
        <x:f>IF(B45="","",INT((MONTH(B45)-1)/3)+1)</x:f>
      </x:c>
      <x:c r="E45" s="1"/>
      <x:c r="F45" s="1"/>
      <x:c r="G45" s="1"/>
      <x:c r="H45" s="1"/>
      <x:c r="I45" s="6"/>
      <x:c r="J45" s="6"/>
      <x:c r="K45" s="6"/>
      <x:c r="L45" s="8" t="str">
        <x:f>IF(I45="","",I45+J45-K45)</x:f>
      </x:c>
      <x:c r="M45" s="1"/>
      <x:c r="N45" s="1"/>
      <x:c r="O45" s="1"/>
      <x:c r="P45" s="1"/>
      <x:c r="Q45" s="6"/>
      <x:c r="R45" s="6"/>
      <x:c r="S45" s="8" t="n">
        <x:f>IF(AND(M45="Confirmado",ISNUMBER(Q45)),Q45,0)</x:f>
        <x:v>0</x:v>
      </x:c>
      <x:c r="T45" s="8" t="n">
        <x:f>IF(AND(M45="Confirmado",ISNUMBER(R45)),R45,0)</x:f>
        <x:v>0</x:v>
      </x:c>
    </x:row>
    <x:row r="46">
      <x:c r="A46" s="1"/>
      <x:c r="B46" s="5"/>
      <x:c r="C46" s="7" t="str">
        <x:f>IF(B46="","",YEAR(B46))</x:f>
      </x:c>
      <x:c r="D46" s="7" t="str">
        <x:f>IF(B46="","",INT((MONTH(B46)-1)/3)+1)</x:f>
      </x:c>
      <x:c r="E46" s="1"/>
      <x:c r="F46" s="1"/>
      <x:c r="G46" s="1"/>
      <x:c r="H46" s="1"/>
      <x:c r="I46" s="6"/>
      <x:c r="J46" s="6"/>
      <x:c r="K46" s="6"/>
      <x:c r="L46" s="8" t="str">
        <x:f>IF(I46="","",I46+J46-K46)</x:f>
      </x:c>
      <x:c r="M46" s="1"/>
      <x:c r="N46" s="1"/>
      <x:c r="O46" s="1"/>
      <x:c r="P46" s="1"/>
      <x:c r="Q46" s="6"/>
      <x:c r="R46" s="6"/>
      <x:c r="S46" s="8" t="n">
        <x:f>IF(AND(M46="Confirmado",ISNUMBER(Q46)),Q46,0)</x:f>
        <x:v>0</x:v>
      </x:c>
      <x:c r="T46" s="8" t="n">
        <x:f>IF(AND(M46="Confirmado",ISNUMBER(R46)),R46,0)</x:f>
        <x:v>0</x:v>
      </x:c>
    </x:row>
    <x:row r="47">
      <x:c r="A47" s="1"/>
      <x:c r="B47" s="5"/>
      <x:c r="C47" s="7" t="str">
        <x:f>IF(B47="","",YEAR(B47))</x:f>
      </x:c>
      <x:c r="D47" s="7" t="str">
        <x:f>IF(B47="","",INT((MONTH(B47)-1)/3)+1)</x:f>
      </x:c>
      <x:c r="E47" s="1"/>
      <x:c r="F47" s="1"/>
      <x:c r="G47" s="1"/>
      <x:c r="H47" s="1"/>
      <x:c r="I47" s="6"/>
      <x:c r="J47" s="6"/>
      <x:c r="K47" s="6"/>
      <x:c r="L47" s="8" t="str">
        <x:f>IF(I47="","",I47+J47-K47)</x:f>
      </x:c>
      <x:c r="M47" s="1"/>
      <x:c r="N47" s="1"/>
      <x:c r="O47" s="1"/>
      <x:c r="P47" s="1"/>
      <x:c r="Q47" s="6"/>
      <x:c r="R47" s="6"/>
      <x:c r="S47" s="8" t="n">
        <x:f>IF(AND(M47="Confirmado",ISNUMBER(Q47)),Q47,0)</x:f>
        <x:v>0</x:v>
      </x:c>
      <x:c r="T47" s="8" t="n">
        <x:f>IF(AND(M47="Confirmado",ISNUMBER(R47)),R47,0)</x:f>
        <x:v>0</x:v>
      </x:c>
    </x:row>
    <x:row r="48">
      <x:c r="A48" s="1"/>
      <x:c r="B48" s="5"/>
      <x:c r="C48" s="7" t="str">
        <x:f>IF(B48="","",YEAR(B48))</x:f>
      </x:c>
      <x:c r="D48" s="7" t="str">
        <x:f>IF(B48="","",INT((MONTH(B48)-1)/3)+1)</x:f>
      </x:c>
      <x:c r="E48" s="1"/>
      <x:c r="F48" s="1"/>
      <x:c r="G48" s="1"/>
      <x:c r="H48" s="1"/>
      <x:c r="I48" s="6"/>
      <x:c r="J48" s="6"/>
      <x:c r="K48" s="6"/>
      <x:c r="L48" s="8" t="str">
        <x:f>IF(I48="","",I48+J48-K48)</x:f>
      </x:c>
      <x:c r="M48" s="1"/>
      <x:c r="N48" s="1"/>
      <x:c r="O48" s="1"/>
      <x:c r="P48" s="1"/>
      <x:c r="Q48" s="6"/>
      <x:c r="R48" s="6"/>
      <x:c r="S48" s="8" t="n">
        <x:f>IF(AND(M48="Confirmado",ISNUMBER(Q48)),Q48,0)</x:f>
        <x:v>0</x:v>
      </x:c>
      <x:c r="T48" s="8" t="n">
        <x:f>IF(AND(M48="Confirmado",ISNUMBER(R48)),R48,0)</x:f>
        <x:v>0</x:v>
      </x:c>
    </x:row>
    <x:row r="49">
      <x:c r="A49" s="1"/>
      <x:c r="B49" s="5"/>
      <x:c r="C49" s="7" t="str">
        <x:f>IF(B49="","",YEAR(B49))</x:f>
      </x:c>
      <x:c r="D49" s="7" t="str">
        <x:f>IF(B49="","",INT((MONTH(B49)-1)/3)+1)</x:f>
      </x:c>
      <x:c r="E49" s="1"/>
      <x:c r="F49" s="1"/>
      <x:c r="G49" s="1"/>
      <x:c r="H49" s="1"/>
      <x:c r="I49" s="6"/>
      <x:c r="J49" s="6"/>
      <x:c r="K49" s="6"/>
      <x:c r="L49" s="8" t="str">
        <x:f>IF(I49="","",I49+J49-K49)</x:f>
      </x:c>
      <x:c r="M49" s="1"/>
      <x:c r="N49" s="1"/>
      <x:c r="O49" s="1"/>
      <x:c r="P49" s="1"/>
      <x:c r="Q49" s="6"/>
      <x:c r="R49" s="6"/>
      <x:c r="S49" s="8" t="n">
        <x:f>IF(AND(M49="Confirmado",ISNUMBER(Q49)),Q49,0)</x:f>
        <x:v>0</x:v>
      </x:c>
      <x:c r="T49" s="8" t="n">
        <x:f>IF(AND(M49="Confirmado",ISNUMBER(R49)),R49,0)</x:f>
        <x:v>0</x:v>
      </x:c>
    </x:row>
    <x:row r="50">
      <x:c r="A50" s="1"/>
      <x:c r="B50" s="5"/>
      <x:c r="C50" s="7" t="str">
        <x:f>IF(B50="","",YEAR(B50))</x:f>
      </x:c>
      <x:c r="D50" s="7" t="str">
        <x:f>IF(B50="","",INT((MONTH(B50)-1)/3)+1)</x:f>
      </x:c>
      <x:c r="E50" s="1"/>
      <x:c r="F50" s="1"/>
      <x:c r="G50" s="1"/>
      <x:c r="H50" s="1"/>
      <x:c r="I50" s="6"/>
      <x:c r="J50" s="6"/>
      <x:c r="K50" s="6"/>
      <x:c r="L50" s="8" t="str">
        <x:f>IF(I50="","",I50+J50-K50)</x:f>
      </x:c>
      <x:c r="M50" s="1"/>
      <x:c r="N50" s="1"/>
      <x:c r="O50" s="1"/>
      <x:c r="P50" s="1"/>
      <x:c r="Q50" s="6"/>
      <x:c r="R50" s="6"/>
      <x:c r="S50" s="8" t="n">
        <x:f>IF(AND(M50="Confirmado",ISNUMBER(Q50)),Q50,0)</x:f>
        <x:v>0</x:v>
      </x:c>
      <x:c r="T50" s="8" t="n">
        <x:f>IF(AND(M50="Confirmado",ISNUMBER(R50)),R50,0)</x:f>
        <x:v>0</x:v>
      </x:c>
    </x:row>
    <x:row r="51">
      <x:c r="A51" s="1"/>
      <x:c r="B51" s="5"/>
      <x:c r="C51" s="7" t="str">
        <x:f>IF(B51="","",YEAR(B51))</x:f>
      </x:c>
      <x:c r="D51" s="7" t="str">
        <x:f>IF(B51="","",INT((MONTH(B51)-1)/3)+1)</x:f>
      </x:c>
      <x:c r="E51" s="1"/>
      <x:c r="F51" s="1"/>
      <x:c r="G51" s="1"/>
      <x:c r="H51" s="1"/>
      <x:c r="I51" s="6"/>
      <x:c r="J51" s="6"/>
      <x:c r="K51" s="6"/>
      <x:c r="L51" s="8" t="str">
        <x:f>IF(I51="","",I51+J51-K51)</x:f>
      </x:c>
      <x:c r="M51" s="1"/>
      <x:c r="N51" s="1"/>
      <x:c r="O51" s="1"/>
      <x:c r="P51" s="1"/>
      <x:c r="Q51" s="6"/>
      <x:c r="R51" s="6"/>
      <x:c r="S51" s="8" t="n">
        <x:f>IF(AND(M51="Confirmado",ISNUMBER(Q51)),Q51,0)</x:f>
        <x:v>0</x:v>
      </x:c>
      <x:c r="T51" s="8" t="n">
        <x:f>IF(AND(M51="Confirmado",ISNUMBER(R51)),R51,0)</x:f>
        <x:v>0</x:v>
      </x:c>
    </x:row>
    <x:row r="52">
      <x:c r="A52" s="1"/>
      <x:c r="B52" s="5"/>
      <x:c r="C52" s="7" t="str">
        <x:f>IF(B52="","",YEAR(B52))</x:f>
      </x:c>
      <x:c r="D52" s="7" t="str">
        <x:f>IF(B52="","",INT((MONTH(B52)-1)/3)+1)</x:f>
      </x:c>
      <x:c r="E52" s="1"/>
      <x:c r="F52" s="1"/>
      <x:c r="G52" s="1"/>
      <x:c r="H52" s="1"/>
      <x:c r="I52" s="6"/>
      <x:c r="J52" s="6"/>
      <x:c r="K52" s="6"/>
      <x:c r="L52" s="8" t="str">
        <x:f>IF(I52="","",I52+J52-K52)</x:f>
      </x:c>
      <x:c r="M52" s="1"/>
      <x:c r="N52" s="1"/>
      <x:c r="O52" s="1"/>
      <x:c r="P52" s="1"/>
      <x:c r="Q52" s="6"/>
      <x:c r="R52" s="6"/>
      <x:c r="S52" s="8" t="n">
        <x:f>IF(AND(M52="Confirmado",ISNUMBER(Q52)),Q52,0)</x:f>
        <x:v>0</x:v>
      </x:c>
      <x:c r="T52" s="8" t="n">
        <x:f>IF(AND(M52="Confirmado",ISNUMBER(R52)),R52,0)</x:f>
        <x:v>0</x:v>
      </x:c>
    </x:row>
    <x:row r="53">
      <x:c r="A53" s="1"/>
      <x:c r="B53" s="5"/>
      <x:c r="C53" s="7" t="str">
        <x:f>IF(B53="","",YEAR(B53))</x:f>
      </x:c>
      <x:c r="D53" s="7" t="str">
        <x:f>IF(B53="","",INT((MONTH(B53)-1)/3)+1)</x:f>
      </x:c>
      <x:c r="E53" s="1"/>
      <x:c r="F53" s="1"/>
      <x:c r="G53" s="1"/>
      <x:c r="H53" s="1"/>
      <x:c r="I53" s="6"/>
      <x:c r="J53" s="6"/>
      <x:c r="K53" s="6"/>
      <x:c r="L53" s="8" t="str">
        <x:f>IF(I53="","",I53+J53-K53)</x:f>
      </x:c>
      <x:c r="M53" s="1"/>
      <x:c r="N53" s="1"/>
      <x:c r="O53" s="1"/>
      <x:c r="P53" s="1"/>
      <x:c r="Q53" s="6"/>
      <x:c r="R53" s="6"/>
      <x:c r="S53" s="8" t="n">
        <x:f>IF(AND(M53="Confirmado",ISNUMBER(Q53)),Q53,0)</x:f>
        <x:v>0</x:v>
      </x:c>
      <x:c r="T53" s="8" t="n">
        <x:f>IF(AND(M53="Confirmado",ISNUMBER(R53)),R53,0)</x:f>
        <x:v>0</x:v>
      </x:c>
    </x:row>
    <x:row r="54">
      <x:c r="A54" s="1"/>
      <x:c r="B54" s="5"/>
      <x:c r="C54" s="7" t="str">
        <x:f>IF(B54="","",YEAR(B54))</x:f>
      </x:c>
      <x:c r="D54" s="7" t="str">
        <x:f>IF(B54="","",INT((MONTH(B54)-1)/3)+1)</x:f>
      </x:c>
      <x:c r="E54" s="1"/>
      <x:c r="F54" s="1"/>
      <x:c r="G54" s="1"/>
      <x:c r="H54" s="1"/>
      <x:c r="I54" s="6"/>
      <x:c r="J54" s="6"/>
      <x:c r="K54" s="6"/>
      <x:c r="L54" s="8" t="str">
        <x:f>IF(I54="","",I54+J54-K54)</x:f>
      </x:c>
      <x:c r="M54" s="1"/>
      <x:c r="N54" s="1"/>
      <x:c r="O54" s="1"/>
      <x:c r="P54" s="1"/>
      <x:c r="Q54" s="6"/>
      <x:c r="R54" s="6"/>
      <x:c r="S54" s="8" t="n">
        <x:f>IF(AND(M54="Confirmado",ISNUMBER(Q54)),Q54,0)</x:f>
        <x:v>0</x:v>
      </x:c>
      <x:c r="T54" s="8" t="n">
        <x:f>IF(AND(M54="Confirmado",ISNUMBER(R54)),R54,0)</x:f>
        <x:v>0</x:v>
      </x:c>
    </x:row>
    <x:row r="55">
      <x:c r="A55" s="1"/>
      <x:c r="B55" s="5"/>
      <x:c r="C55" s="7" t="str">
        <x:f>IF(B55="","",YEAR(B55))</x:f>
      </x:c>
      <x:c r="D55" s="7" t="str">
        <x:f>IF(B55="","",INT((MONTH(B55)-1)/3)+1)</x:f>
      </x:c>
      <x:c r="E55" s="1"/>
      <x:c r="F55" s="1"/>
      <x:c r="G55" s="1"/>
      <x:c r="H55" s="1"/>
      <x:c r="I55" s="6"/>
      <x:c r="J55" s="6"/>
      <x:c r="K55" s="6"/>
      <x:c r="L55" s="8" t="str">
        <x:f>IF(I55="","",I55+J55-K55)</x:f>
      </x:c>
      <x:c r="M55" s="1"/>
      <x:c r="N55" s="1"/>
      <x:c r="O55" s="1"/>
      <x:c r="P55" s="1"/>
      <x:c r="Q55" s="6"/>
      <x:c r="R55" s="6"/>
      <x:c r="S55" s="8" t="n">
        <x:f>IF(AND(M55="Confirmado",ISNUMBER(Q55)),Q55,0)</x:f>
        <x:v>0</x:v>
      </x:c>
      <x:c r="T55" s="8" t="n">
        <x:f>IF(AND(M55="Confirmado",ISNUMBER(R55)),R55,0)</x:f>
        <x:v>0</x:v>
      </x:c>
    </x:row>
    <x:row r="56">
      <x:c r="A56" s="1"/>
      <x:c r="B56" s="5"/>
      <x:c r="C56" s="7" t="str">
        <x:f>IF(B56="","",YEAR(B56))</x:f>
      </x:c>
      <x:c r="D56" s="7" t="str">
        <x:f>IF(B56="","",INT((MONTH(B56)-1)/3)+1)</x:f>
      </x:c>
      <x:c r="E56" s="1"/>
      <x:c r="F56" s="1"/>
      <x:c r="G56" s="1"/>
      <x:c r="H56" s="1"/>
      <x:c r="I56" s="6"/>
      <x:c r="J56" s="6"/>
      <x:c r="K56" s="6"/>
      <x:c r="L56" s="8" t="str">
        <x:f>IF(I56="","",I56+J56-K56)</x:f>
      </x:c>
      <x:c r="M56" s="1"/>
      <x:c r="N56" s="1"/>
      <x:c r="O56" s="1"/>
      <x:c r="P56" s="1"/>
      <x:c r="Q56" s="6"/>
      <x:c r="R56" s="6"/>
      <x:c r="S56" s="8" t="n">
        <x:f>IF(AND(M56="Confirmado",ISNUMBER(Q56)),Q56,0)</x:f>
        <x:v>0</x:v>
      </x:c>
      <x:c r="T56" s="8" t="n">
        <x:f>IF(AND(M56="Confirmado",ISNUMBER(R56)),R56,0)</x:f>
        <x:v>0</x:v>
      </x:c>
    </x:row>
    <x:row r="57">
      <x:c r="A57" s="1"/>
      <x:c r="B57" s="5"/>
      <x:c r="C57" s="7" t="str">
        <x:f>IF(B57="","",YEAR(B57))</x:f>
      </x:c>
      <x:c r="D57" s="7" t="str">
        <x:f>IF(B57="","",INT((MONTH(B57)-1)/3)+1)</x:f>
      </x:c>
      <x:c r="E57" s="1"/>
      <x:c r="F57" s="1"/>
      <x:c r="G57" s="1"/>
      <x:c r="H57" s="1"/>
      <x:c r="I57" s="6"/>
      <x:c r="J57" s="6"/>
      <x:c r="K57" s="6"/>
      <x:c r="L57" s="8" t="str">
        <x:f>IF(I57="","",I57+J57-K57)</x:f>
      </x:c>
      <x:c r="M57" s="1"/>
      <x:c r="N57" s="1"/>
      <x:c r="O57" s="1"/>
      <x:c r="P57" s="1"/>
      <x:c r="Q57" s="6"/>
      <x:c r="R57" s="6"/>
      <x:c r="S57" s="8" t="n">
        <x:f>IF(AND(M57="Confirmado",ISNUMBER(Q57)),Q57,0)</x:f>
        <x:v>0</x:v>
      </x:c>
      <x:c r="T57" s="8" t="n">
        <x:f>IF(AND(M57="Confirmado",ISNUMBER(R57)),R57,0)</x:f>
        <x:v>0</x:v>
      </x:c>
    </x:row>
    <x:row r="58">
      <x:c r="A58" s="1"/>
      <x:c r="B58" s="5"/>
      <x:c r="C58" s="7" t="str">
        <x:f>IF(B58="","",YEAR(B58))</x:f>
      </x:c>
      <x:c r="D58" s="7" t="str">
        <x:f>IF(B58="","",INT((MONTH(B58)-1)/3)+1)</x:f>
      </x:c>
      <x:c r="E58" s="1"/>
      <x:c r="F58" s="1"/>
      <x:c r="G58" s="1"/>
      <x:c r="H58" s="1"/>
      <x:c r="I58" s="6"/>
      <x:c r="J58" s="6"/>
      <x:c r="K58" s="6"/>
      <x:c r="L58" s="8" t="str">
        <x:f>IF(I58="","",I58+J58-K58)</x:f>
      </x:c>
      <x:c r="M58" s="1"/>
      <x:c r="N58" s="1"/>
      <x:c r="O58" s="1"/>
      <x:c r="P58" s="1"/>
      <x:c r="Q58" s="6"/>
      <x:c r="R58" s="6"/>
      <x:c r="S58" s="8" t="n">
        <x:f>IF(AND(M58="Confirmado",ISNUMBER(Q58)),Q58,0)</x:f>
        <x:v>0</x:v>
      </x:c>
      <x:c r="T58" s="8" t="n">
        <x:f>IF(AND(M58="Confirmado",ISNUMBER(R58)),R58,0)</x:f>
        <x:v>0</x:v>
      </x:c>
    </x:row>
    <x:row r="59">
      <x:c r="A59" s="1"/>
      <x:c r="B59" s="5"/>
      <x:c r="C59" s="7" t="str">
        <x:f>IF(B59="","",YEAR(B59))</x:f>
      </x:c>
      <x:c r="D59" s="7" t="str">
        <x:f>IF(B59="","",INT((MONTH(B59)-1)/3)+1)</x:f>
      </x:c>
      <x:c r="E59" s="1"/>
      <x:c r="F59" s="1"/>
      <x:c r="G59" s="1"/>
      <x:c r="H59" s="1"/>
      <x:c r="I59" s="6"/>
      <x:c r="J59" s="6"/>
      <x:c r="K59" s="6"/>
      <x:c r="L59" s="8" t="str">
        <x:f>IF(I59="","",I59+J59-K59)</x:f>
      </x:c>
      <x:c r="M59" s="1"/>
      <x:c r="N59" s="1"/>
      <x:c r="O59" s="1"/>
      <x:c r="P59" s="1"/>
      <x:c r="Q59" s="6"/>
      <x:c r="R59" s="6"/>
      <x:c r="S59" s="8" t="n">
        <x:f>IF(AND(M59="Confirmado",ISNUMBER(Q59)),Q59,0)</x:f>
        <x:v>0</x:v>
      </x:c>
      <x:c r="T59" s="8" t="n">
        <x:f>IF(AND(M59="Confirmado",ISNUMBER(R59)),R59,0)</x:f>
        <x:v>0</x:v>
      </x:c>
    </x:row>
    <x:row r="60">
      <x:c r="A60" s="1"/>
      <x:c r="B60" s="5"/>
      <x:c r="C60" s="7" t="str">
        <x:f>IF(B60="","",YEAR(B60))</x:f>
      </x:c>
      <x:c r="D60" s="7" t="str">
        <x:f>IF(B60="","",INT((MONTH(B60)-1)/3)+1)</x:f>
      </x:c>
      <x:c r="E60" s="1"/>
      <x:c r="F60" s="1"/>
      <x:c r="G60" s="1"/>
      <x:c r="H60" s="1"/>
      <x:c r="I60" s="6"/>
      <x:c r="J60" s="6"/>
      <x:c r="K60" s="6"/>
      <x:c r="L60" s="8" t="str">
        <x:f>IF(I60="","",I60+J60-K60)</x:f>
      </x:c>
      <x:c r="M60" s="1"/>
      <x:c r="N60" s="1"/>
      <x:c r="O60" s="1"/>
      <x:c r="P60" s="1"/>
      <x:c r="Q60" s="6"/>
      <x:c r="R60" s="6"/>
      <x:c r="S60" s="8" t="n">
        <x:f>IF(AND(M60="Confirmado",ISNUMBER(Q60)),Q60,0)</x:f>
        <x:v>0</x:v>
      </x:c>
      <x:c r="T60" s="8" t="n">
        <x:f>IF(AND(M60="Confirmado",ISNUMBER(R60)),R60,0)</x:f>
        <x:v>0</x:v>
      </x:c>
    </x:row>
    <x:row r="61">
      <x:c r="A61" s="1"/>
      <x:c r="B61" s="5"/>
      <x:c r="C61" s="7" t="str">
        <x:f>IF(B61="","",YEAR(B61))</x:f>
      </x:c>
      <x:c r="D61" s="7" t="str">
        <x:f>IF(B61="","",INT((MONTH(B61)-1)/3)+1)</x:f>
      </x:c>
      <x:c r="E61" s="1"/>
      <x:c r="F61" s="1"/>
      <x:c r="G61" s="1"/>
      <x:c r="H61" s="1"/>
      <x:c r="I61" s="6"/>
      <x:c r="J61" s="6"/>
      <x:c r="K61" s="6"/>
      <x:c r="L61" s="8" t="str">
        <x:f>IF(I61="","",I61+J61-K61)</x:f>
      </x:c>
      <x:c r="M61" s="1"/>
      <x:c r="N61" s="1"/>
      <x:c r="O61" s="1"/>
      <x:c r="P61" s="1"/>
      <x:c r="Q61" s="6"/>
      <x:c r="R61" s="6"/>
      <x:c r="S61" s="8" t="n">
        <x:f>IF(AND(M61="Confirmado",ISNUMBER(Q61)),Q61,0)</x:f>
        <x:v>0</x:v>
      </x:c>
      <x:c r="T61" s="8" t="n">
        <x:f>IF(AND(M61="Confirmado",ISNUMBER(R61)),R61,0)</x:f>
        <x:v>0</x:v>
      </x:c>
    </x:row>
    <x:row r="62">
      <x:c r="A62" s="1"/>
      <x:c r="B62" s="5"/>
      <x:c r="C62" s="7" t="str">
        <x:f>IF(B62="","",YEAR(B62))</x:f>
      </x:c>
      <x:c r="D62" s="7" t="str">
        <x:f>IF(B62="","",INT((MONTH(B62)-1)/3)+1)</x:f>
      </x:c>
      <x:c r="E62" s="1"/>
      <x:c r="F62" s="1"/>
      <x:c r="G62" s="1"/>
      <x:c r="H62" s="1"/>
      <x:c r="I62" s="6"/>
      <x:c r="J62" s="6"/>
      <x:c r="K62" s="6"/>
      <x:c r="L62" s="8" t="str">
        <x:f>IF(I62="","",I62+J62-K62)</x:f>
      </x:c>
      <x:c r="M62" s="1"/>
      <x:c r="N62" s="1"/>
      <x:c r="O62" s="1"/>
      <x:c r="P62" s="1"/>
      <x:c r="Q62" s="6"/>
      <x:c r="R62" s="6"/>
      <x:c r="S62" s="8" t="n">
        <x:f>IF(AND(M62="Confirmado",ISNUMBER(Q62)),Q62,0)</x:f>
        <x:v>0</x:v>
      </x:c>
      <x:c r="T62" s="8" t="n">
        <x:f>IF(AND(M62="Confirmado",ISNUMBER(R62)),R62,0)</x:f>
        <x:v>0</x:v>
      </x:c>
    </x:row>
    <x:row r="63">
      <x:c r="A63" s="1"/>
      <x:c r="B63" s="5"/>
      <x:c r="C63" s="7" t="str">
        <x:f>IF(B63="","",YEAR(B63))</x:f>
      </x:c>
      <x:c r="D63" s="7" t="str">
        <x:f>IF(B63="","",INT((MONTH(B63)-1)/3)+1)</x:f>
      </x:c>
      <x:c r="E63" s="1"/>
      <x:c r="F63" s="1"/>
      <x:c r="G63" s="1"/>
      <x:c r="H63" s="1"/>
      <x:c r="I63" s="6"/>
      <x:c r="J63" s="6"/>
      <x:c r="K63" s="6"/>
      <x:c r="L63" s="8" t="str">
        <x:f>IF(I63="","",I63+J63-K63)</x:f>
      </x:c>
      <x:c r="M63" s="1"/>
      <x:c r="N63" s="1"/>
      <x:c r="O63" s="1"/>
      <x:c r="P63" s="1"/>
      <x:c r="Q63" s="6"/>
      <x:c r="R63" s="6"/>
      <x:c r="S63" s="8" t="n">
        <x:f>IF(AND(M63="Confirmado",ISNUMBER(Q63)),Q63,0)</x:f>
        <x:v>0</x:v>
      </x:c>
      <x:c r="T63" s="8" t="n">
        <x:f>IF(AND(M63="Confirmado",ISNUMBER(R63)),R63,0)</x:f>
        <x:v>0</x:v>
      </x:c>
    </x:row>
    <x:row r="64">
      <x:c r="A64" s="1"/>
      <x:c r="B64" s="5"/>
      <x:c r="C64" s="7" t="str">
        <x:f>IF(B64="","",YEAR(B64))</x:f>
      </x:c>
      <x:c r="D64" s="7" t="str">
        <x:f>IF(B64="","",INT((MONTH(B64)-1)/3)+1)</x:f>
      </x:c>
      <x:c r="E64" s="1"/>
      <x:c r="F64" s="1"/>
      <x:c r="G64" s="1"/>
      <x:c r="H64" s="1"/>
      <x:c r="I64" s="6"/>
      <x:c r="J64" s="6"/>
      <x:c r="K64" s="6"/>
      <x:c r="L64" s="8" t="str">
        <x:f>IF(I64="","",I64+J64-K64)</x:f>
      </x:c>
      <x:c r="M64" s="1"/>
      <x:c r="N64" s="1"/>
      <x:c r="O64" s="1"/>
      <x:c r="P64" s="1"/>
      <x:c r="Q64" s="6"/>
      <x:c r="R64" s="6"/>
      <x:c r="S64" s="8" t="n">
        <x:f>IF(AND(M64="Confirmado",ISNUMBER(Q64)),Q64,0)</x:f>
        <x:v>0</x:v>
      </x:c>
      <x:c r="T64" s="8" t="n">
        <x:f>IF(AND(M64="Confirmado",ISNUMBER(R64)),R64,0)</x:f>
        <x:v>0</x:v>
      </x:c>
    </x:row>
    <x:row r="65">
      <x:c r="A65" s="1"/>
      <x:c r="B65" s="5"/>
      <x:c r="C65" s="7" t="str">
        <x:f>IF(B65="","",YEAR(B65))</x:f>
      </x:c>
      <x:c r="D65" s="7" t="str">
        <x:f>IF(B65="","",INT((MONTH(B65)-1)/3)+1)</x:f>
      </x:c>
      <x:c r="E65" s="1"/>
      <x:c r="F65" s="1"/>
      <x:c r="G65" s="1"/>
      <x:c r="H65" s="1"/>
      <x:c r="I65" s="6"/>
      <x:c r="J65" s="6"/>
      <x:c r="K65" s="6"/>
      <x:c r="L65" s="8" t="str">
        <x:f>IF(I65="","",I65+J65-K65)</x:f>
      </x:c>
      <x:c r="M65" s="1"/>
      <x:c r="N65" s="1"/>
      <x:c r="O65" s="1"/>
      <x:c r="P65" s="1"/>
      <x:c r="Q65" s="6"/>
      <x:c r="R65" s="6"/>
      <x:c r="S65" s="8" t="n">
        <x:f>IF(AND(M65="Confirmado",ISNUMBER(Q65)),Q65,0)</x:f>
        <x:v>0</x:v>
      </x:c>
      <x:c r="T65" s="8" t="n">
        <x:f>IF(AND(M65="Confirmado",ISNUMBER(R65)),R65,0)</x:f>
        <x:v>0</x:v>
      </x:c>
    </x:row>
    <x:row r="66">
      <x:c r="A66" s="1"/>
      <x:c r="B66" s="5"/>
      <x:c r="C66" s="7" t="str">
        <x:f>IF(B66="","",YEAR(B66))</x:f>
      </x:c>
      <x:c r="D66" s="7" t="str">
        <x:f>IF(B66="","",INT((MONTH(B66)-1)/3)+1)</x:f>
      </x:c>
      <x:c r="E66" s="1"/>
      <x:c r="F66" s="1"/>
      <x:c r="G66" s="1"/>
      <x:c r="H66" s="1"/>
      <x:c r="I66" s="6"/>
      <x:c r="J66" s="6"/>
      <x:c r="K66" s="6"/>
      <x:c r="L66" s="8" t="str">
        <x:f>IF(I66="","",I66+J66-K66)</x:f>
      </x:c>
      <x:c r="M66" s="1"/>
      <x:c r="N66" s="1"/>
      <x:c r="O66" s="1"/>
      <x:c r="P66" s="1"/>
      <x:c r="Q66" s="6"/>
      <x:c r="R66" s="6"/>
      <x:c r="S66" s="8" t="n">
        <x:f>IF(AND(M66="Confirmado",ISNUMBER(Q66)),Q66,0)</x:f>
        <x:v>0</x:v>
      </x:c>
      <x:c r="T66" s="8" t="n">
        <x:f>IF(AND(M66="Confirmado",ISNUMBER(R66)),R66,0)</x:f>
        <x:v>0</x:v>
      </x:c>
    </x:row>
    <x:row r="67">
      <x:c r="A67" s="1"/>
      <x:c r="B67" s="5"/>
      <x:c r="C67" s="7" t="str">
        <x:f>IF(B67="","",YEAR(B67))</x:f>
      </x:c>
      <x:c r="D67" s="7" t="str">
        <x:f>IF(B67="","",INT((MONTH(B67)-1)/3)+1)</x:f>
      </x:c>
      <x:c r="E67" s="1"/>
      <x:c r="F67" s="1"/>
      <x:c r="G67" s="1"/>
      <x:c r="H67" s="1"/>
      <x:c r="I67" s="6"/>
      <x:c r="J67" s="6"/>
      <x:c r="K67" s="6"/>
      <x:c r="L67" s="8" t="str">
        <x:f>IF(I67="","",I67+J67-K67)</x:f>
      </x:c>
      <x:c r="M67" s="1"/>
      <x:c r="N67" s="1"/>
      <x:c r="O67" s="1"/>
      <x:c r="P67" s="1"/>
      <x:c r="Q67" s="6"/>
      <x:c r="R67" s="6"/>
      <x:c r="S67" s="8" t="n">
        <x:f>IF(AND(M67="Confirmado",ISNUMBER(Q67)),Q67,0)</x:f>
        <x:v>0</x:v>
      </x:c>
      <x:c r="T67" s="8" t="n">
        <x:f>IF(AND(M67="Confirmado",ISNUMBER(R67)),R67,0)</x:f>
        <x:v>0</x:v>
      </x:c>
    </x:row>
    <x:row r="68">
      <x:c r="A68" s="1"/>
      <x:c r="B68" s="5"/>
      <x:c r="C68" s="7" t="str">
        <x:f>IF(B68="","",YEAR(B68))</x:f>
      </x:c>
      <x:c r="D68" s="7" t="str">
        <x:f>IF(B68="","",INT((MONTH(B68)-1)/3)+1)</x:f>
      </x:c>
      <x:c r="E68" s="1"/>
      <x:c r="F68" s="1"/>
      <x:c r="G68" s="1"/>
      <x:c r="H68" s="1"/>
      <x:c r="I68" s="6"/>
      <x:c r="J68" s="6"/>
      <x:c r="K68" s="6"/>
      <x:c r="L68" s="8" t="str">
        <x:f>IF(I68="","",I68+J68-K68)</x:f>
      </x:c>
      <x:c r="M68" s="1"/>
      <x:c r="N68" s="1"/>
      <x:c r="O68" s="1"/>
      <x:c r="P68" s="1"/>
      <x:c r="Q68" s="6"/>
      <x:c r="R68" s="6"/>
      <x:c r="S68" s="8" t="n">
        <x:f>IF(AND(M68="Confirmado",ISNUMBER(Q68)),Q68,0)</x:f>
        <x:v>0</x:v>
      </x:c>
      <x:c r="T68" s="8" t="n">
        <x:f>IF(AND(M68="Confirmado",ISNUMBER(R68)),R68,0)</x:f>
        <x:v>0</x:v>
      </x:c>
    </x:row>
    <x:row r="69">
      <x:c r="A69" s="1"/>
      <x:c r="B69" s="5"/>
      <x:c r="C69" s="7" t="str">
        <x:f>IF(B69="","",YEAR(B69))</x:f>
      </x:c>
      <x:c r="D69" s="7" t="str">
        <x:f>IF(B69="","",INT((MONTH(B69)-1)/3)+1)</x:f>
      </x:c>
      <x:c r="E69" s="1"/>
      <x:c r="F69" s="1"/>
      <x:c r="G69" s="1"/>
      <x:c r="H69" s="1"/>
      <x:c r="I69" s="6"/>
      <x:c r="J69" s="6"/>
      <x:c r="K69" s="6"/>
      <x:c r="L69" s="8" t="str">
        <x:f>IF(I69="","",I69+J69-K69)</x:f>
      </x:c>
      <x:c r="M69" s="1"/>
      <x:c r="N69" s="1"/>
      <x:c r="O69" s="1"/>
      <x:c r="P69" s="1"/>
      <x:c r="Q69" s="6"/>
      <x:c r="R69" s="6"/>
      <x:c r="S69" s="8" t="n">
        <x:f>IF(AND(M69="Confirmado",ISNUMBER(Q69)),Q69,0)</x:f>
        <x:v>0</x:v>
      </x:c>
      <x:c r="T69" s="8" t="n">
        <x:f>IF(AND(M69="Confirmado",ISNUMBER(R69)),R69,0)</x:f>
        <x:v>0</x:v>
      </x:c>
    </x:row>
    <x:row r="70">
      <x:c r="A70" s="1"/>
      <x:c r="B70" s="5"/>
      <x:c r="C70" s="7" t="str">
        <x:f>IF(B70="","",YEAR(B70))</x:f>
      </x:c>
      <x:c r="D70" s="7" t="str">
        <x:f>IF(B70="","",INT((MONTH(B70)-1)/3)+1)</x:f>
      </x:c>
      <x:c r="E70" s="1"/>
      <x:c r="F70" s="1"/>
      <x:c r="G70" s="1"/>
      <x:c r="H70" s="1"/>
      <x:c r="I70" s="6"/>
      <x:c r="J70" s="6"/>
      <x:c r="K70" s="6"/>
      <x:c r="L70" s="8" t="str">
        <x:f>IF(I70="","",I70+J70-K70)</x:f>
      </x:c>
      <x:c r="M70" s="1"/>
      <x:c r="N70" s="1"/>
      <x:c r="O70" s="1"/>
      <x:c r="P70" s="1"/>
      <x:c r="Q70" s="6"/>
      <x:c r="R70" s="6"/>
      <x:c r="S70" s="8" t="n">
        <x:f>IF(AND(M70="Confirmado",ISNUMBER(Q70)),Q70,0)</x:f>
        <x:v>0</x:v>
      </x:c>
      <x:c r="T70" s="8" t="n">
        <x:f>IF(AND(M70="Confirmado",ISNUMBER(R70)),R70,0)</x:f>
        <x:v>0</x:v>
      </x:c>
    </x:row>
    <x:row r="71">
      <x:c r="A71" s="1"/>
      <x:c r="B71" s="5"/>
      <x:c r="C71" s="7" t="str">
        <x:f>IF(B71="","",YEAR(B71))</x:f>
      </x:c>
      <x:c r="D71" s="7" t="str">
        <x:f>IF(B71="","",INT((MONTH(B71)-1)/3)+1)</x:f>
      </x:c>
      <x:c r="E71" s="1"/>
      <x:c r="F71" s="1"/>
      <x:c r="G71" s="1"/>
      <x:c r="H71" s="1"/>
      <x:c r="I71" s="6"/>
      <x:c r="J71" s="6"/>
      <x:c r="K71" s="6"/>
      <x:c r="L71" s="8" t="str">
        <x:f>IF(I71="","",I71+J71-K71)</x:f>
      </x:c>
      <x:c r="M71" s="1"/>
      <x:c r="N71" s="1"/>
      <x:c r="O71" s="1"/>
      <x:c r="P71" s="1"/>
      <x:c r="Q71" s="6"/>
      <x:c r="R71" s="6"/>
      <x:c r="S71" s="8" t="n">
        <x:f>IF(AND(M71="Confirmado",ISNUMBER(Q71)),Q71,0)</x:f>
        <x:v>0</x:v>
      </x:c>
      <x:c r="T71" s="8" t="n">
        <x:f>IF(AND(M71="Confirmado",ISNUMBER(R71)),R71,0)</x:f>
        <x:v>0</x:v>
      </x:c>
    </x:row>
    <x:row r="72">
      <x:c r="A72" s="1"/>
      <x:c r="B72" s="5"/>
      <x:c r="C72" s="7" t="str">
        <x:f>IF(B72="","",YEAR(B72))</x:f>
      </x:c>
      <x:c r="D72" s="7" t="str">
        <x:f>IF(B72="","",INT((MONTH(B72)-1)/3)+1)</x:f>
      </x:c>
      <x:c r="E72" s="1"/>
      <x:c r="F72" s="1"/>
      <x:c r="G72" s="1"/>
      <x:c r="H72" s="1"/>
      <x:c r="I72" s="6"/>
      <x:c r="J72" s="6"/>
      <x:c r="K72" s="6"/>
      <x:c r="L72" s="8" t="str">
        <x:f>IF(I72="","",I72+J72-K72)</x:f>
      </x:c>
      <x:c r="M72" s="1"/>
      <x:c r="N72" s="1"/>
      <x:c r="O72" s="1"/>
      <x:c r="P72" s="1"/>
      <x:c r="Q72" s="6"/>
      <x:c r="R72" s="6"/>
      <x:c r="S72" s="8" t="n">
        <x:f>IF(AND(M72="Confirmado",ISNUMBER(Q72)),Q72,0)</x:f>
        <x:v>0</x:v>
      </x:c>
      <x:c r="T72" s="8" t="n">
        <x:f>IF(AND(M72="Confirmado",ISNUMBER(R72)),R72,0)</x:f>
        <x:v>0</x:v>
      </x:c>
    </x:row>
    <x:row r="73">
      <x:c r="A73" s="1"/>
      <x:c r="B73" s="5"/>
      <x:c r="C73" s="7" t="str">
        <x:f>IF(B73="","",YEAR(B73))</x:f>
      </x:c>
      <x:c r="D73" s="7" t="str">
        <x:f>IF(B73="","",INT((MONTH(B73)-1)/3)+1)</x:f>
      </x:c>
      <x:c r="E73" s="1"/>
      <x:c r="F73" s="1"/>
      <x:c r="G73" s="1"/>
      <x:c r="H73" s="1"/>
      <x:c r="I73" s="6"/>
      <x:c r="J73" s="6"/>
      <x:c r="K73" s="6"/>
      <x:c r="L73" s="8" t="str">
        <x:f>IF(I73="","",I73+J73-K73)</x:f>
      </x:c>
      <x:c r="M73" s="1"/>
      <x:c r="N73" s="1"/>
      <x:c r="O73" s="1"/>
      <x:c r="P73" s="1"/>
      <x:c r="Q73" s="6"/>
      <x:c r="R73" s="6"/>
      <x:c r="S73" s="8" t="n">
        <x:f>IF(AND(M73="Confirmado",ISNUMBER(Q73)),Q73,0)</x:f>
        <x:v>0</x:v>
      </x:c>
      <x:c r="T73" s="8" t="n">
        <x:f>IF(AND(M73="Confirmado",ISNUMBER(R73)),R73,0)</x:f>
        <x:v>0</x:v>
      </x:c>
    </x:row>
    <x:row r="74">
      <x:c r="A74" s="1"/>
      <x:c r="B74" s="5"/>
      <x:c r="C74" s="7" t="str">
        <x:f>IF(B74="","",YEAR(B74))</x:f>
      </x:c>
      <x:c r="D74" s="7" t="str">
        <x:f>IF(B74="","",INT((MONTH(B74)-1)/3)+1)</x:f>
      </x:c>
      <x:c r="E74" s="1"/>
      <x:c r="F74" s="1"/>
      <x:c r="G74" s="1"/>
      <x:c r="H74" s="1"/>
      <x:c r="I74" s="6"/>
      <x:c r="J74" s="6"/>
      <x:c r="K74" s="6"/>
      <x:c r="L74" s="8" t="str">
        <x:f>IF(I74="","",I74+J74-K74)</x:f>
      </x:c>
      <x:c r="M74" s="1"/>
      <x:c r="N74" s="1"/>
      <x:c r="O74" s="1"/>
      <x:c r="P74" s="1"/>
      <x:c r="Q74" s="6"/>
      <x:c r="R74" s="6"/>
      <x:c r="S74" s="8" t="n">
        <x:f>IF(AND(M74="Confirmado",ISNUMBER(Q74)),Q74,0)</x:f>
        <x:v>0</x:v>
      </x:c>
      <x:c r="T74" s="8" t="n">
        <x:f>IF(AND(M74="Confirmado",ISNUMBER(R74)),R74,0)</x:f>
        <x:v>0</x:v>
      </x:c>
    </x:row>
    <x:row r="75">
      <x:c r="A75" s="1"/>
      <x:c r="B75" s="5"/>
      <x:c r="C75" s="7" t="str">
        <x:f>IF(B75="","",YEAR(B75))</x:f>
      </x:c>
      <x:c r="D75" s="7" t="str">
        <x:f>IF(B75="","",INT((MONTH(B75)-1)/3)+1)</x:f>
      </x:c>
      <x:c r="E75" s="1"/>
      <x:c r="F75" s="1"/>
      <x:c r="G75" s="1"/>
      <x:c r="H75" s="1"/>
      <x:c r="I75" s="6"/>
      <x:c r="J75" s="6"/>
      <x:c r="K75" s="6"/>
      <x:c r="L75" s="8" t="str">
        <x:f>IF(I75="","",I75+J75-K75)</x:f>
      </x:c>
      <x:c r="M75" s="1"/>
      <x:c r="N75" s="1"/>
      <x:c r="O75" s="1"/>
      <x:c r="P75" s="1"/>
      <x:c r="Q75" s="6"/>
      <x:c r="R75" s="6"/>
      <x:c r="S75" s="8" t="n">
        <x:f>IF(AND(M75="Confirmado",ISNUMBER(Q75)),Q75,0)</x:f>
        <x:v>0</x:v>
      </x:c>
      <x:c r="T75" s="8" t="n">
        <x:f>IF(AND(M75="Confirmado",ISNUMBER(R75)),R75,0)</x:f>
        <x:v>0</x:v>
      </x:c>
    </x:row>
    <x:row r="76">
      <x:c r="A76" s="1"/>
      <x:c r="B76" s="5"/>
      <x:c r="C76" s="7" t="str">
        <x:f>IF(B76="","",YEAR(B76))</x:f>
      </x:c>
      <x:c r="D76" s="7" t="str">
        <x:f>IF(B76="","",INT((MONTH(B76)-1)/3)+1)</x:f>
      </x:c>
      <x:c r="E76" s="1"/>
      <x:c r="F76" s="1"/>
      <x:c r="G76" s="1"/>
      <x:c r="H76" s="1"/>
      <x:c r="I76" s="6"/>
      <x:c r="J76" s="6"/>
      <x:c r="K76" s="6"/>
      <x:c r="L76" s="8" t="str">
        <x:f>IF(I76="","",I76+J76-K76)</x:f>
      </x:c>
      <x:c r="M76" s="1"/>
      <x:c r="N76" s="1"/>
      <x:c r="O76" s="1"/>
      <x:c r="P76" s="1"/>
      <x:c r="Q76" s="6"/>
      <x:c r="R76" s="6"/>
      <x:c r="S76" s="8" t="n">
        <x:f>IF(AND(M76="Confirmado",ISNUMBER(Q76)),Q76,0)</x:f>
        <x:v>0</x:v>
      </x:c>
      <x:c r="T76" s="8" t="n">
        <x:f>IF(AND(M76="Confirmado",ISNUMBER(R76)),R76,0)</x:f>
        <x:v>0</x:v>
      </x:c>
    </x:row>
    <x:row r="77">
      <x:c r="A77" s="1"/>
      <x:c r="B77" s="5"/>
      <x:c r="C77" s="7" t="str">
        <x:f>IF(B77="","",YEAR(B77))</x:f>
      </x:c>
      <x:c r="D77" s="7" t="str">
        <x:f>IF(B77="","",INT((MONTH(B77)-1)/3)+1)</x:f>
      </x:c>
      <x:c r="E77" s="1"/>
      <x:c r="F77" s="1"/>
      <x:c r="G77" s="1"/>
      <x:c r="H77" s="1"/>
      <x:c r="I77" s="6"/>
      <x:c r="J77" s="6"/>
      <x:c r="K77" s="6"/>
      <x:c r="L77" s="8" t="str">
        <x:f>IF(I77="","",I77+J77-K77)</x:f>
      </x:c>
      <x:c r="M77" s="1"/>
      <x:c r="N77" s="1"/>
      <x:c r="O77" s="1"/>
      <x:c r="P77" s="1"/>
      <x:c r="Q77" s="6"/>
      <x:c r="R77" s="6"/>
      <x:c r="S77" s="8" t="n">
        <x:f>IF(AND(M77="Confirmado",ISNUMBER(Q77)),Q77,0)</x:f>
        <x:v>0</x:v>
      </x:c>
      <x:c r="T77" s="8" t="n">
        <x:f>IF(AND(M77="Confirmado",ISNUMBER(R77)),R77,0)</x:f>
        <x:v>0</x:v>
      </x:c>
    </x:row>
    <x:row r="78">
      <x:c r="A78" s="1"/>
      <x:c r="B78" s="5"/>
      <x:c r="C78" s="7" t="str">
        <x:f>IF(B78="","",YEAR(B78))</x:f>
      </x:c>
      <x:c r="D78" s="7" t="str">
        <x:f>IF(B78="","",INT((MONTH(B78)-1)/3)+1)</x:f>
      </x:c>
      <x:c r="E78" s="1"/>
      <x:c r="F78" s="1"/>
      <x:c r="G78" s="1"/>
      <x:c r="H78" s="1"/>
      <x:c r="I78" s="6"/>
      <x:c r="J78" s="6"/>
      <x:c r="K78" s="6"/>
      <x:c r="L78" s="8" t="str">
        <x:f>IF(I78="","",I78+J78-K78)</x:f>
      </x:c>
      <x:c r="M78" s="1"/>
      <x:c r="N78" s="1"/>
      <x:c r="O78" s="1"/>
      <x:c r="P78" s="1"/>
      <x:c r="Q78" s="6"/>
      <x:c r="R78" s="6"/>
      <x:c r="S78" s="8" t="n">
        <x:f>IF(AND(M78="Confirmado",ISNUMBER(Q78)),Q78,0)</x:f>
        <x:v>0</x:v>
      </x:c>
      <x:c r="T78" s="8" t="n">
        <x:f>IF(AND(M78="Confirmado",ISNUMBER(R78)),R78,0)</x:f>
        <x:v>0</x:v>
      </x:c>
    </x:row>
    <x:row r="79">
      <x:c r="A79" s="1"/>
      <x:c r="B79" s="5"/>
      <x:c r="C79" s="7" t="str">
        <x:f>IF(B79="","",YEAR(B79))</x:f>
      </x:c>
      <x:c r="D79" s="7" t="str">
        <x:f>IF(B79="","",INT((MONTH(B79)-1)/3)+1)</x:f>
      </x:c>
      <x:c r="E79" s="1"/>
      <x:c r="F79" s="1"/>
      <x:c r="G79" s="1"/>
      <x:c r="H79" s="1"/>
      <x:c r="I79" s="6"/>
      <x:c r="J79" s="6"/>
      <x:c r="K79" s="6"/>
      <x:c r="L79" s="8" t="str">
        <x:f>IF(I79="","",I79+J79-K79)</x:f>
      </x:c>
      <x:c r="M79" s="1"/>
      <x:c r="N79" s="1"/>
      <x:c r="O79" s="1"/>
      <x:c r="P79" s="1"/>
      <x:c r="Q79" s="6"/>
      <x:c r="R79" s="6"/>
      <x:c r="S79" s="8" t="n">
        <x:f>IF(AND(M79="Confirmado",ISNUMBER(Q79)),Q79,0)</x:f>
        <x:v>0</x:v>
      </x:c>
      <x:c r="T79" s="8" t="n">
        <x:f>IF(AND(M79="Confirmado",ISNUMBER(R79)),R79,0)</x:f>
        <x:v>0</x:v>
      </x:c>
    </x:row>
    <x:row r="80">
      <x:c r="A80" s="1"/>
      <x:c r="B80" s="5"/>
      <x:c r="C80" s="7" t="str">
        <x:f>IF(B80="","",YEAR(B80))</x:f>
      </x:c>
      <x:c r="D80" s="7" t="str">
        <x:f>IF(B80="","",INT((MONTH(B80)-1)/3)+1)</x:f>
      </x:c>
      <x:c r="E80" s="1"/>
      <x:c r="F80" s="1"/>
      <x:c r="G80" s="1"/>
      <x:c r="H80" s="1"/>
      <x:c r="I80" s="6"/>
      <x:c r="J80" s="6"/>
      <x:c r="K80" s="6"/>
      <x:c r="L80" s="8" t="str">
        <x:f>IF(I80="","",I80+J80-K80)</x:f>
      </x:c>
      <x:c r="M80" s="1"/>
      <x:c r="N80" s="1"/>
      <x:c r="O80" s="1"/>
      <x:c r="P80" s="1"/>
      <x:c r="Q80" s="6"/>
      <x:c r="R80" s="6"/>
      <x:c r="S80" s="8" t="n">
        <x:f>IF(AND(M80="Confirmado",ISNUMBER(Q80)),Q80,0)</x:f>
        <x:v>0</x:v>
      </x:c>
      <x:c r="T80" s="8" t="n">
        <x:f>IF(AND(M80="Confirmado",ISNUMBER(R80)),R80,0)</x:f>
        <x:v>0</x:v>
      </x:c>
    </x:row>
    <x:row r="81">
      <x:c r="A81" s="1"/>
      <x:c r="B81" s="5"/>
      <x:c r="C81" s="7" t="str">
        <x:f>IF(B81="","",YEAR(B81))</x:f>
      </x:c>
      <x:c r="D81" s="7" t="str">
        <x:f>IF(B81="","",INT((MONTH(B81)-1)/3)+1)</x:f>
      </x:c>
      <x:c r="E81" s="1"/>
      <x:c r="F81" s="1"/>
      <x:c r="G81" s="1"/>
      <x:c r="H81" s="1"/>
      <x:c r="I81" s="6"/>
      <x:c r="J81" s="6"/>
      <x:c r="K81" s="6"/>
      <x:c r="L81" s="8" t="str">
        <x:f>IF(I81="","",I81+J81-K81)</x:f>
      </x:c>
      <x:c r="M81" s="1"/>
      <x:c r="N81" s="1"/>
      <x:c r="O81" s="1"/>
      <x:c r="P81" s="1"/>
      <x:c r="Q81" s="6"/>
      <x:c r="R81" s="6"/>
      <x:c r="S81" s="8" t="n">
        <x:f>IF(AND(M81="Confirmado",ISNUMBER(Q81)),Q81,0)</x:f>
        <x:v>0</x:v>
      </x:c>
      <x:c r="T81" s="8" t="n">
        <x:f>IF(AND(M81="Confirmado",ISNUMBER(R81)),R81,0)</x:f>
        <x:v>0</x:v>
      </x:c>
    </x:row>
    <x:row r="82">
      <x:c r="A82" s="1"/>
      <x:c r="B82" s="5"/>
      <x:c r="C82" s="7" t="str">
        <x:f>IF(B82="","",YEAR(B82))</x:f>
      </x:c>
      <x:c r="D82" s="7" t="str">
        <x:f>IF(B82="","",INT((MONTH(B82)-1)/3)+1)</x:f>
      </x:c>
      <x:c r="E82" s="1"/>
      <x:c r="F82" s="1"/>
      <x:c r="G82" s="1"/>
      <x:c r="H82" s="1"/>
      <x:c r="I82" s="6"/>
      <x:c r="J82" s="6"/>
      <x:c r="K82" s="6"/>
      <x:c r="L82" s="8" t="str">
        <x:f>IF(I82="","",I82+J82-K82)</x:f>
      </x:c>
      <x:c r="M82" s="1"/>
      <x:c r="N82" s="1"/>
      <x:c r="O82" s="1"/>
      <x:c r="P82" s="1"/>
      <x:c r="Q82" s="6"/>
      <x:c r="R82" s="6"/>
      <x:c r="S82" s="8" t="n">
        <x:f>IF(AND(M82="Confirmado",ISNUMBER(Q82)),Q82,0)</x:f>
        <x:v>0</x:v>
      </x:c>
      <x:c r="T82" s="8" t="n">
        <x:f>IF(AND(M82="Confirmado",ISNUMBER(R82)),R82,0)</x:f>
        <x:v>0</x:v>
      </x:c>
    </x:row>
    <x:row r="83">
      <x:c r="A83" s="1"/>
      <x:c r="B83" s="5"/>
      <x:c r="C83" s="7" t="str">
        <x:f>IF(B83="","",YEAR(B83))</x:f>
      </x:c>
      <x:c r="D83" s="7" t="str">
        <x:f>IF(B83="","",INT((MONTH(B83)-1)/3)+1)</x:f>
      </x:c>
      <x:c r="E83" s="1"/>
      <x:c r="F83" s="1"/>
      <x:c r="G83" s="1"/>
      <x:c r="H83" s="1"/>
      <x:c r="I83" s="6"/>
      <x:c r="J83" s="6"/>
      <x:c r="K83" s="6"/>
      <x:c r="L83" s="8" t="str">
        <x:f>IF(I83="","",I83+J83-K83)</x:f>
      </x:c>
      <x:c r="M83" s="1"/>
      <x:c r="N83" s="1"/>
      <x:c r="O83" s="1"/>
      <x:c r="P83" s="1"/>
      <x:c r="Q83" s="6"/>
      <x:c r="R83" s="6"/>
      <x:c r="S83" s="8" t="n">
        <x:f>IF(AND(M83="Confirmado",ISNUMBER(Q83)),Q83,0)</x:f>
        <x:v>0</x:v>
      </x:c>
      <x:c r="T83" s="8" t="n">
        <x:f>IF(AND(M83="Confirmado",ISNUMBER(R83)),R83,0)</x:f>
        <x:v>0</x:v>
      </x:c>
    </x:row>
    <x:row r="84">
      <x:c r="A84" s="1"/>
      <x:c r="B84" s="5"/>
      <x:c r="C84" s="7" t="str">
        <x:f>IF(B84="","",YEAR(B84))</x:f>
      </x:c>
      <x:c r="D84" s="7" t="str">
        <x:f>IF(B84="","",INT((MONTH(B84)-1)/3)+1)</x:f>
      </x:c>
      <x:c r="E84" s="1"/>
      <x:c r="F84" s="1"/>
      <x:c r="G84" s="1"/>
      <x:c r="H84" s="1"/>
      <x:c r="I84" s="6"/>
      <x:c r="J84" s="6"/>
      <x:c r="K84" s="6"/>
      <x:c r="L84" s="8" t="str">
        <x:f>IF(I84="","",I84+J84-K84)</x:f>
      </x:c>
      <x:c r="M84" s="1"/>
      <x:c r="N84" s="1"/>
      <x:c r="O84" s="1"/>
      <x:c r="P84" s="1"/>
      <x:c r="Q84" s="6"/>
      <x:c r="R84" s="6"/>
      <x:c r="S84" s="8" t="n">
        <x:f>IF(AND(M84="Confirmado",ISNUMBER(Q84)),Q84,0)</x:f>
        <x:v>0</x:v>
      </x:c>
      <x:c r="T84" s="8" t="n">
        <x:f>IF(AND(M84="Confirmado",ISNUMBER(R84)),R84,0)</x:f>
        <x:v>0</x:v>
      </x:c>
    </x:row>
    <x:row r="85">
      <x:c r="A85" s="1"/>
      <x:c r="B85" s="5"/>
      <x:c r="C85" s="7" t="str">
        <x:f>IF(B85="","",YEAR(B85))</x:f>
      </x:c>
      <x:c r="D85" s="7" t="str">
        <x:f>IF(B85="","",INT((MONTH(B85)-1)/3)+1)</x:f>
      </x:c>
      <x:c r="E85" s="1"/>
      <x:c r="F85" s="1"/>
      <x:c r="G85" s="1"/>
      <x:c r="H85" s="1"/>
      <x:c r="I85" s="6"/>
      <x:c r="J85" s="6"/>
      <x:c r="K85" s="6"/>
      <x:c r="L85" s="8" t="str">
        <x:f>IF(I85="","",I85+J85-K85)</x:f>
      </x:c>
      <x:c r="M85" s="1"/>
      <x:c r="N85" s="1"/>
      <x:c r="O85" s="1"/>
      <x:c r="P85" s="1"/>
      <x:c r="Q85" s="6"/>
      <x:c r="R85" s="6"/>
      <x:c r="S85" s="8" t="n">
        <x:f>IF(AND(M85="Confirmado",ISNUMBER(Q85)),Q85,0)</x:f>
        <x:v>0</x:v>
      </x:c>
      <x:c r="T85" s="8" t="n">
        <x:f>IF(AND(M85="Confirmado",ISNUMBER(R85)),R85,0)</x:f>
        <x:v>0</x:v>
      </x:c>
    </x:row>
    <x:row r="86">
      <x:c r="A86" s="1"/>
      <x:c r="B86" s="5"/>
      <x:c r="C86" s="7" t="str">
        <x:f>IF(B86="","",YEAR(B86))</x:f>
      </x:c>
      <x:c r="D86" s="7" t="str">
        <x:f>IF(B86="","",INT((MONTH(B86)-1)/3)+1)</x:f>
      </x:c>
      <x:c r="E86" s="1"/>
      <x:c r="F86" s="1"/>
      <x:c r="G86" s="1"/>
      <x:c r="H86" s="1"/>
      <x:c r="I86" s="6"/>
      <x:c r="J86" s="6"/>
      <x:c r="K86" s="6"/>
      <x:c r="L86" s="8" t="str">
        <x:f>IF(I86="","",I86+J86-K86)</x:f>
      </x:c>
      <x:c r="M86" s="1"/>
      <x:c r="N86" s="1"/>
      <x:c r="O86" s="1"/>
      <x:c r="P86" s="1"/>
      <x:c r="Q86" s="6"/>
      <x:c r="R86" s="6"/>
      <x:c r="S86" s="8" t="n">
        <x:f>IF(AND(M86="Confirmado",ISNUMBER(Q86)),Q86,0)</x:f>
        <x:v>0</x:v>
      </x:c>
      <x:c r="T86" s="8" t="n">
        <x:f>IF(AND(M86="Confirmado",ISNUMBER(R86)),R86,0)</x:f>
        <x:v>0</x:v>
      </x:c>
    </x:row>
    <x:row r="87">
      <x:c r="A87" s="1"/>
      <x:c r="B87" s="5"/>
      <x:c r="C87" s="7" t="str">
        <x:f>IF(B87="","",YEAR(B87))</x:f>
      </x:c>
      <x:c r="D87" s="7" t="str">
        <x:f>IF(B87="","",INT((MONTH(B87)-1)/3)+1)</x:f>
      </x:c>
      <x:c r="E87" s="1"/>
      <x:c r="F87" s="1"/>
      <x:c r="G87" s="1"/>
      <x:c r="H87" s="1"/>
      <x:c r="I87" s="6"/>
      <x:c r="J87" s="6"/>
      <x:c r="K87" s="6"/>
      <x:c r="L87" s="8" t="str">
        <x:f>IF(I87="","",I87+J87-K87)</x:f>
      </x:c>
      <x:c r="M87" s="1"/>
      <x:c r="N87" s="1"/>
      <x:c r="O87" s="1"/>
      <x:c r="P87" s="1"/>
      <x:c r="Q87" s="6"/>
      <x:c r="R87" s="6"/>
      <x:c r="S87" s="8" t="n">
        <x:f>IF(AND(M87="Confirmado",ISNUMBER(Q87)),Q87,0)</x:f>
        <x:v>0</x:v>
      </x:c>
      <x:c r="T87" s="8" t="n">
        <x:f>IF(AND(M87="Confirmado",ISNUMBER(R87)),R87,0)</x:f>
        <x:v>0</x:v>
      </x:c>
    </x:row>
    <x:row r="88">
      <x:c r="A88" s="1"/>
      <x:c r="B88" s="5"/>
      <x:c r="C88" s="7" t="str">
        <x:f>IF(B88="","",YEAR(B88))</x:f>
      </x:c>
      <x:c r="D88" s="7" t="str">
        <x:f>IF(B88="","",INT((MONTH(B88)-1)/3)+1)</x:f>
      </x:c>
      <x:c r="E88" s="1"/>
      <x:c r="F88" s="1"/>
      <x:c r="G88" s="1"/>
      <x:c r="H88" s="1"/>
      <x:c r="I88" s="6"/>
      <x:c r="J88" s="6"/>
      <x:c r="K88" s="6"/>
      <x:c r="L88" s="8" t="str">
        <x:f>IF(I88="","",I88+J88-K88)</x:f>
      </x:c>
      <x:c r="M88" s="1"/>
      <x:c r="N88" s="1"/>
      <x:c r="O88" s="1"/>
      <x:c r="P88" s="1"/>
      <x:c r="Q88" s="6"/>
      <x:c r="R88" s="6"/>
      <x:c r="S88" s="8" t="n">
        <x:f>IF(AND(M88="Confirmado",ISNUMBER(Q88)),Q88,0)</x:f>
        <x:v>0</x:v>
      </x:c>
      <x:c r="T88" s="8" t="n">
        <x:f>IF(AND(M88="Confirmado",ISNUMBER(R88)),R88,0)</x:f>
        <x:v>0</x:v>
      </x:c>
    </x:row>
    <x:row r="89">
      <x:c r="A89" s="1"/>
      <x:c r="B89" s="5"/>
      <x:c r="C89" s="7" t="str">
        <x:f>IF(B89="","",YEAR(B89))</x:f>
      </x:c>
      <x:c r="D89" s="7" t="str">
        <x:f>IF(B89="","",INT((MONTH(B89)-1)/3)+1)</x:f>
      </x:c>
      <x:c r="E89" s="1"/>
      <x:c r="F89" s="1"/>
      <x:c r="G89" s="1"/>
      <x:c r="H89" s="1"/>
      <x:c r="I89" s="6"/>
      <x:c r="J89" s="6"/>
      <x:c r="K89" s="6"/>
      <x:c r="L89" s="8" t="str">
        <x:f>IF(I89="","",I89+J89-K89)</x:f>
      </x:c>
      <x:c r="M89" s="1"/>
      <x:c r="N89" s="1"/>
      <x:c r="O89" s="1"/>
      <x:c r="P89" s="1"/>
      <x:c r="Q89" s="6"/>
      <x:c r="R89" s="6"/>
      <x:c r="S89" s="8" t="n">
        <x:f>IF(AND(M89="Confirmado",ISNUMBER(Q89)),Q89,0)</x:f>
        <x:v>0</x:v>
      </x:c>
      <x:c r="T89" s="8" t="n">
        <x:f>IF(AND(M89="Confirmado",ISNUMBER(R89)),R89,0)</x:f>
        <x:v>0</x:v>
      </x:c>
    </x:row>
    <x:row r="90">
      <x:c r="A90" s="1"/>
      <x:c r="B90" s="5"/>
      <x:c r="C90" s="7" t="str">
        <x:f>IF(B90="","",YEAR(B90))</x:f>
      </x:c>
      <x:c r="D90" s="7" t="str">
        <x:f>IF(B90="","",INT((MONTH(B90)-1)/3)+1)</x:f>
      </x:c>
      <x:c r="E90" s="1"/>
      <x:c r="F90" s="1"/>
      <x:c r="G90" s="1"/>
      <x:c r="H90" s="1"/>
      <x:c r="I90" s="6"/>
      <x:c r="J90" s="6"/>
      <x:c r="K90" s="6"/>
      <x:c r="L90" s="8" t="str">
        <x:f>IF(I90="","",I90+J90-K90)</x:f>
      </x:c>
      <x:c r="M90" s="1"/>
      <x:c r="N90" s="1"/>
      <x:c r="O90" s="1"/>
      <x:c r="P90" s="1"/>
      <x:c r="Q90" s="6"/>
      <x:c r="R90" s="6"/>
      <x:c r="S90" s="8" t="n">
        <x:f>IF(AND(M90="Confirmado",ISNUMBER(Q90)),Q90,0)</x:f>
        <x:v>0</x:v>
      </x:c>
      <x:c r="T90" s="8" t="n">
        <x:f>IF(AND(M90="Confirmado",ISNUMBER(R90)),R90,0)</x:f>
        <x:v>0</x:v>
      </x:c>
    </x:row>
    <x:row r="91">
      <x:c r="A91" s="1"/>
      <x:c r="B91" s="5"/>
      <x:c r="C91" s="7" t="str">
        <x:f>IF(B91="","",YEAR(B91))</x:f>
      </x:c>
      <x:c r="D91" s="7" t="str">
        <x:f>IF(B91="","",INT((MONTH(B91)-1)/3)+1)</x:f>
      </x:c>
      <x:c r="E91" s="1"/>
      <x:c r="F91" s="1"/>
      <x:c r="G91" s="1"/>
      <x:c r="H91" s="1"/>
      <x:c r="I91" s="6"/>
      <x:c r="J91" s="6"/>
      <x:c r="K91" s="6"/>
      <x:c r="L91" s="8" t="str">
        <x:f>IF(I91="","",I91+J91-K91)</x:f>
      </x:c>
      <x:c r="M91" s="1"/>
      <x:c r="N91" s="1"/>
      <x:c r="O91" s="1"/>
      <x:c r="P91" s="1"/>
      <x:c r="Q91" s="6"/>
      <x:c r="R91" s="6"/>
      <x:c r="S91" s="8" t="n">
        <x:f>IF(AND(M91="Confirmado",ISNUMBER(Q91)),Q91,0)</x:f>
        <x:v>0</x:v>
      </x:c>
      <x:c r="T91" s="8" t="n">
        <x:f>IF(AND(M91="Confirmado",ISNUMBER(R91)),R91,0)</x:f>
        <x:v>0</x:v>
      </x:c>
    </x:row>
    <x:row r="92">
      <x:c r="A92" s="1"/>
      <x:c r="B92" s="5"/>
      <x:c r="C92" s="7" t="str">
        <x:f>IF(B92="","",YEAR(B92))</x:f>
      </x:c>
      <x:c r="D92" s="7" t="str">
        <x:f>IF(B92="","",INT((MONTH(B92)-1)/3)+1)</x:f>
      </x:c>
      <x:c r="E92" s="1"/>
      <x:c r="F92" s="1"/>
      <x:c r="G92" s="1"/>
      <x:c r="H92" s="1"/>
      <x:c r="I92" s="6"/>
      <x:c r="J92" s="6"/>
      <x:c r="K92" s="6"/>
      <x:c r="L92" s="8" t="str">
        <x:f>IF(I92="","",I92+J92-K92)</x:f>
      </x:c>
      <x:c r="M92" s="1"/>
      <x:c r="N92" s="1"/>
      <x:c r="O92" s="1"/>
      <x:c r="P92" s="1"/>
      <x:c r="Q92" s="6"/>
      <x:c r="R92" s="6"/>
      <x:c r="S92" s="8" t="n">
        <x:f>IF(AND(M92="Confirmado",ISNUMBER(Q92)),Q92,0)</x:f>
        <x:v>0</x:v>
      </x:c>
      <x:c r="T92" s="8" t="n">
        <x:f>IF(AND(M92="Confirmado",ISNUMBER(R92)),R92,0)</x:f>
        <x:v>0</x:v>
      </x:c>
    </x:row>
    <x:row r="93">
      <x:c r="A93" s="1"/>
      <x:c r="B93" s="5"/>
      <x:c r="C93" s="7" t="str">
        <x:f>IF(B93="","",YEAR(B93))</x:f>
      </x:c>
      <x:c r="D93" s="7" t="str">
        <x:f>IF(B93="","",INT((MONTH(B93)-1)/3)+1)</x:f>
      </x:c>
      <x:c r="E93" s="1"/>
      <x:c r="F93" s="1"/>
      <x:c r="G93" s="1"/>
      <x:c r="H93" s="1"/>
      <x:c r="I93" s="6"/>
      <x:c r="J93" s="6"/>
      <x:c r="K93" s="6"/>
      <x:c r="L93" s="8" t="str">
        <x:f>IF(I93="","",I93+J93-K93)</x:f>
      </x:c>
      <x:c r="M93" s="1"/>
      <x:c r="N93" s="1"/>
      <x:c r="O93" s="1"/>
      <x:c r="P93" s="1"/>
      <x:c r="Q93" s="6"/>
      <x:c r="R93" s="6"/>
      <x:c r="S93" s="8" t="n">
        <x:f>IF(AND(M93="Confirmado",ISNUMBER(Q93)),Q93,0)</x:f>
        <x:v>0</x:v>
      </x:c>
      <x:c r="T93" s="8" t="n">
        <x:f>IF(AND(M93="Confirmado",ISNUMBER(R93)),R93,0)</x:f>
        <x:v>0</x:v>
      </x:c>
    </x:row>
    <x:row r="94">
      <x:c r="A94" s="1"/>
      <x:c r="B94" s="5"/>
      <x:c r="C94" s="7" t="str">
        <x:f>IF(B94="","",YEAR(B94))</x:f>
      </x:c>
      <x:c r="D94" s="7" t="str">
        <x:f>IF(B94="","",INT((MONTH(B94)-1)/3)+1)</x:f>
      </x:c>
      <x:c r="E94" s="1"/>
      <x:c r="F94" s="1"/>
      <x:c r="G94" s="1"/>
      <x:c r="H94" s="1"/>
      <x:c r="I94" s="6"/>
      <x:c r="J94" s="6"/>
      <x:c r="K94" s="6"/>
      <x:c r="L94" s="8" t="str">
        <x:f>IF(I94="","",I94+J94-K94)</x:f>
      </x:c>
      <x:c r="M94" s="1"/>
      <x:c r="N94" s="1"/>
      <x:c r="O94" s="1"/>
      <x:c r="P94" s="1"/>
      <x:c r="Q94" s="6"/>
      <x:c r="R94" s="6"/>
      <x:c r="S94" s="8" t="n">
        <x:f>IF(AND(M94="Confirmado",ISNUMBER(Q94)),Q94,0)</x:f>
        <x:v>0</x:v>
      </x:c>
      <x:c r="T94" s="8" t="n">
        <x:f>IF(AND(M94="Confirmado",ISNUMBER(R94)),R94,0)</x:f>
        <x:v>0</x:v>
      </x:c>
    </x:row>
    <x:row r="95">
      <x:c r="A95" s="1"/>
      <x:c r="B95" s="5"/>
      <x:c r="C95" s="7" t="str">
        <x:f>IF(B95="","",YEAR(B95))</x:f>
      </x:c>
      <x:c r="D95" s="7" t="str">
        <x:f>IF(B95="","",INT((MONTH(B95)-1)/3)+1)</x:f>
      </x:c>
      <x:c r="E95" s="1"/>
      <x:c r="F95" s="1"/>
      <x:c r="G95" s="1"/>
      <x:c r="H95" s="1"/>
      <x:c r="I95" s="6"/>
      <x:c r="J95" s="6"/>
      <x:c r="K95" s="6"/>
      <x:c r="L95" s="8" t="str">
        <x:f>IF(I95="","",I95+J95-K95)</x:f>
      </x:c>
      <x:c r="M95" s="1"/>
      <x:c r="N95" s="1"/>
      <x:c r="O95" s="1"/>
      <x:c r="P95" s="1"/>
      <x:c r="Q95" s="6"/>
      <x:c r="R95" s="6"/>
      <x:c r="S95" s="8" t="n">
        <x:f>IF(AND(M95="Confirmado",ISNUMBER(Q95)),Q95,0)</x:f>
        <x:v>0</x:v>
      </x:c>
      <x:c r="T95" s="8" t="n">
        <x:f>IF(AND(M95="Confirmado",ISNUMBER(R95)),R95,0)</x:f>
        <x:v>0</x:v>
      </x:c>
    </x:row>
    <x:row r="96">
      <x:c r="A96" s="1"/>
      <x:c r="B96" s="5"/>
      <x:c r="C96" s="7" t="str">
        <x:f>IF(B96="","",YEAR(B96))</x:f>
      </x:c>
      <x:c r="D96" s="7" t="str">
        <x:f>IF(B96="","",INT((MONTH(B96)-1)/3)+1)</x:f>
      </x:c>
      <x:c r="E96" s="1"/>
      <x:c r="F96" s="1"/>
      <x:c r="G96" s="1"/>
      <x:c r="H96" s="1"/>
      <x:c r="I96" s="6"/>
      <x:c r="J96" s="6"/>
      <x:c r="K96" s="6"/>
      <x:c r="L96" s="8" t="str">
        <x:f>IF(I96="","",I96+J96-K96)</x:f>
      </x:c>
      <x:c r="M96" s="1"/>
      <x:c r="N96" s="1"/>
      <x:c r="O96" s="1"/>
      <x:c r="P96" s="1"/>
      <x:c r="Q96" s="6"/>
      <x:c r="R96" s="6"/>
      <x:c r="S96" s="8" t="n">
        <x:f>IF(AND(M96="Confirmado",ISNUMBER(Q96)),Q96,0)</x:f>
        <x:v>0</x:v>
      </x:c>
      <x:c r="T96" s="8" t="n">
        <x:f>IF(AND(M96="Confirmado",ISNUMBER(R96)),R96,0)</x:f>
        <x:v>0</x:v>
      </x:c>
    </x:row>
    <x:row r="97">
      <x:c r="A97" s="1"/>
      <x:c r="B97" s="5"/>
      <x:c r="C97" s="7" t="str">
        <x:f>IF(B97="","",YEAR(B97))</x:f>
      </x:c>
      <x:c r="D97" s="7" t="str">
        <x:f>IF(B97="","",INT((MONTH(B97)-1)/3)+1)</x:f>
      </x:c>
      <x:c r="E97" s="1"/>
      <x:c r="F97" s="1"/>
      <x:c r="G97" s="1"/>
      <x:c r="H97" s="1"/>
      <x:c r="I97" s="6"/>
      <x:c r="J97" s="6"/>
      <x:c r="K97" s="6"/>
      <x:c r="L97" s="8" t="str">
        <x:f>IF(I97="","",I97+J97-K97)</x:f>
      </x:c>
      <x:c r="M97" s="1"/>
      <x:c r="N97" s="1"/>
      <x:c r="O97" s="1"/>
      <x:c r="P97" s="1"/>
      <x:c r="Q97" s="6"/>
      <x:c r="R97" s="6"/>
      <x:c r="S97" s="8" t="n">
        <x:f>IF(AND(M97="Confirmado",ISNUMBER(Q97)),Q97,0)</x:f>
        <x:v>0</x:v>
      </x:c>
      <x:c r="T97" s="8" t="n">
        <x:f>IF(AND(M97="Confirmado",ISNUMBER(R97)),R97,0)</x:f>
        <x:v>0</x:v>
      </x:c>
    </x:row>
    <x:row r="98">
      <x:c r="A98" s="1"/>
      <x:c r="B98" s="5"/>
      <x:c r="C98" s="7" t="str">
        <x:f>IF(B98="","",YEAR(B98))</x:f>
      </x:c>
      <x:c r="D98" s="7" t="str">
        <x:f>IF(B98="","",INT((MONTH(B98)-1)/3)+1)</x:f>
      </x:c>
      <x:c r="E98" s="1"/>
      <x:c r="F98" s="1"/>
      <x:c r="G98" s="1"/>
      <x:c r="H98" s="1"/>
      <x:c r="I98" s="6"/>
      <x:c r="J98" s="6"/>
      <x:c r="K98" s="6"/>
      <x:c r="L98" s="8" t="str">
        <x:f>IF(I98="","",I98+J98-K98)</x:f>
      </x:c>
      <x:c r="M98" s="1"/>
      <x:c r="N98" s="1"/>
      <x:c r="O98" s="1"/>
      <x:c r="P98" s="1"/>
      <x:c r="Q98" s="6"/>
      <x:c r="R98" s="6"/>
      <x:c r="S98" s="8" t="n">
        <x:f>IF(AND(M98="Confirmado",ISNUMBER(Q98)),Q98,0)</x:f>
        <x:v>0</x:v>
      </x:c>
      <x:c r="T98" s="8" t="n">
        <x:f>IF(AND(M98="Confirmado",ISNUMBER(R98)),R98,0)</x:f>
        <x:v>0</x:v>
      </x:c>
    </x:row>
    <x:row r="99">
      <x:c r="A99" s="1"/>
      <x:c r="B99" s="5"/>
      <x:c r="C99" s="7" t="str">
        <x:f>IF(B99="","",YEAR(B99))</x:f>
      </x:c>
      <x:c r="D99" s="7" t="str">
        <x:f>IF(B99="","",INT((MONTH(B99)-1)/3)+1)</x:f>
      </x:c>
      <x:c r="E99" s="1"/>
      <x:c r="F99" s="1"/>
      <x:c r="G99" s="1"/>
      <x:c r="H99" s="1"/>
      <x:c r="I99" s="6"/>
      <x:c r="J99" s="6"/>
      <x:c r="K99" s="6"/>
      <x:c r="L99" s="8" t="str">
        <x:f>IF(I99="","",I99+J99-K99)</x:f>
      </x:c>
      <x:c r="M99" s="1"/>
      <x:c r="N99" s="1"/>
      <x:c r="O99" s="1"/>
      <x:c r="P99" s="1"/>
      <x:c r="Q99" s="6"/>
      <x:c r="R99" s="6"/>
      <x:c r="S99" s="8" t="n">
        <x:f>IF(AND(M99="Confirmado",ISNUMBER(Q99)),Q99,0)</x:f>
        <x:v>0</x:v>
      </x:c>
      <x:c r="T99" s="8" t="n">
        <x:f>IF(AND(M99="Confirmado",ISNUMBER(R99)),R99,0)</x:f>
        <x:v>0</x:v>
      </x:c>
    </x:row>
    <x:row r="100">
      <x:c r="A100" s="1"/>
      <x:c r="B100" s="5"/>
      <x:c r="C100" s="7" t="str">
        <x:f>IF(B100="","",YEAR(B100))</x:f>
      </x:c>
      <x:c r="D100" s="7" t="str">
        <x:f>IF(B100="","",INT((MONTH(B100)-1)/3)+1)</x:f>
      </x:c>
      <x:c r="E100" s="1"/>
      <x:c r="F100" s="1"/>
      <x:c r="G100" s="1"/>
      <x:c r="H100" s="1"/>
      <x:c r="I100" s="6"/>
      <x:c r="J100" s="6"/>
      <x:c r="K100" s="6"/>
      <x:c r="L100" s="8" t="str">
        <x:f>IF(I100="","",I100+J100-K100)</x:f>
      </x:c>
      <x:c r="M100" s="1"/>
      <x:c r="N100" s="1"/>
      <x:c r="O100" s="1"/>
      <x:c r="P100" s="1"/>
      <x:c r="Q100" s="6"/>
      <x:c r="R100" s="6"/>
      <x:c r="S100" s="8" t="n">
        <x:f>IF(AND(M100="Confirmado",ISNUMBER(Q100)),Q100,0)</x:f>
        <x:v>0</x:v>
      </x:c>
      <x:c r="T100" s="8" t="n">
        <x:f>IF(AND(M100="Confirmado",ISNUMBER(R100)),R100,0)</x:f>
        <x:v>0</x:v>
      </x:c>
    </x:row>
    <x:row r="101">
      <x:c r="A101" s="1"/>
      <x:c r="B101" s="5"/>
      <x:c r="C101" s="7" t="str">
        <x:f>IF(B101="","",YEAR(B101))</x:f>
      </x:c>
      <x:c r="D101" s="7" t="str">
        <x:f>IF(B101="","",INT((MONTH(B101)-1)/3)+1)</x:f>
      </x:c>
      <x:c r="E101" s="1"/>
      <x:c r="F101" s="1"/>
      <x:c r="G101" s="1"/>
      <x:c r="H101" s="1"/>
      <x:c r="I101" s="6"/>
      <x:c r="J101" s="6"/>
      <x:c r="K101" s="6"/>
      <x:c r="L101" s="8" t="str">
        <x:f>IF(I101="","",I101+J101-K101)</x:f>
      </x:c>
      <x:c r="M101" s="1"/>
      <x:c r="N101" s="1"/>
      <x:c r="O101" s="1"/>
      <x:c r="P101" s="1"/>
      <x:c r="Q101" s="6"/>
      <x:c r="R101" s="6"/>
      <x:c r="S101" s="8" t="n">
        <x:f>IF(AND(M101="Confirmado",ISNUMBER(Q101)),Q101,0)</x:f>
        <x:v>0</x:v>
      </x:c>
      <x:c r="T101" s="8" t="n">
        <x:f>IF(AND(M101="Confirmado",ISNUMBER(R101)),R101,0)</x:f>
        <x:v>0</x:v>
      </x:c>
    </x:row>
    <x:row r="102">
      <x:c r="A102" s="1"/>
      <x:c r="B102" s="5"/>
      <x:c r="C102" s="7" t="str">
        <x:f>IF(B102="","",YEAR(B102))</x:f>
      </x:c>
      <x:c r="D102" s="7" t="str">
        <x:f>IF(B102="","",INT((MONTH(B102)-1)/3)+1)</x:f>
      </x:c>
      <x:c r="E102" s="1"/>
      <x:c r="F102" s="1"/>
      <x:c r="G102" s="1"/>
      <x:c r="H102" s="1"/>
      <x:c r="I102" s="6"/>
      <x:c r="J102" s="6"/>
      <x:c r="K102" s="6"/>
      <x:c r="L102" s="8" t="str">
        <x:f>IF(I102="","",I102+J102-K102)</x:f>
      </x:c>
      <x:c r="M102" s="1"/>
      <x:c r="N102" s="1"/>
      <x:c r="O102" s="1"/>
      <x:c r="P102" s="1"/>
      <x:c r="Q102" s="6"/>
      <x:c r="R102" s="6"/>
      <x:c r="S102" s="8" t="n">
        <x:f>IF(AND(M102="Confirmado",ISNUMBER(Q102)),Q102,0)</x:f>
        <x:v>0</x:v>
      </x:c>
      <x:c r="T102" s="8" t="n">
        <x:f>IF(AND(M102="Confirmado",ISNUMBER(R102)),R102,0)</x:f>
        <x:v>0</x:v>
      </x:c>
    </x:row>
    <x:row r="103">
      <x:c r="A103" s="1"/>
      <x:c r="B103" s="5"/>
      <x:c r="C103" s="7" t="str">
        <x:f>IF(B103="","",YEAR(B103))</x:f>
      </x:c>
      <x:c r="D103" s="7" t="str">
        <x:f>IF(B103="","",INT((MONTH(B103)-1)/3)+1)</x:f>
      </x:c>
      <x:c r="E103" s="1"/>
      <x:c r="F103" s="1"/>
      <x:c r="G103" s="1"/>
      <x:c r="H103" s="1"/>
      <x:c r="I103" s="6"/>
      <x:c r="J103" s="6"/>
      <x:c r="K103" s="6"/>
      <x:c r="L103" s="8" t="str">
        <x:f>IF(I103="","",I103+J103-K103)</x:f>
      </x:c>
      <x:c r="M103" s="1"/>
      <x:c r="N103" s="1"/>
      <x:c r="O103" s="1"/>
      <x:c r="P103" s="1"/>
      <x:c r="Q103" s="6"/>
      <x:c r="R103" s="6"/>
      <x:c r="S103" s="8" t="n">
        <x:f>IF(AND(M103="Confirmado",ISNUMBER(Q103)),Q103,0)</x:f>
        <x:v>0</x:v>
      </x:c>
      <x:c r="T103" s="8" t="n">
        <x:f>IF(AND(M103="Confirmado",ISNUMBER(R103)),R103,0)</x:f>
        <x:v>0</x:v>
      </x:c>
    </x:row>
    <x:row r="104">
      <x:c r="A104" s="1"/>
      <x:c r="B104" s="5"/>
      <x:c r="C104" s="7" t="str">
        <x:f>IF(B104="","",YEAR(B104))</x:f>
      </x:c>
      <x:c r="D104" s="7" t="str">
        <x:f>IF(B104="","",INT((MONTH(B104)-1)/3)+1)</x:f>
      </x:c>
      <x:c r="E104" s="1"/>
      <x:c r="F104" s="1"/>
      <x:c r="G104" s="1"/>
      <x:c r="H104" s="1"/>
      <x:c r="I104" s="6"/>
      <x:c r="J104" s="6"/>
      <x:c r="K104" s="6"/>
      <x:c r="L104" s="8" t="str">
        <x:f>IF(I104="","",I104+J104-K104)</x:f>
      </x:c>
      <x:c r="M104" s="1"/>
      <x:c r="N104" s="1"/>
      <x:c r="O104" s="1"/>
      <x:c r="P104" s="1"/>
      <x:c r="Q104" s="6"/>
      <x:c r="R104" s="6"/>
      <x:c r="S104" s="8" t="n">
        <x:f>IF(AND(M104="Confirmado",ISNUMBER(Q104)),Q104,0)</x:f>
        <x:v>0</x:v>
      </x:c>
      <x:c r="T104" s="8" t="n">
        <x:f>IF(AND(M104="Confirmado",ISNUMBER(R104)),R104,0)</x:f>
        <x:v>0</x:v>
      </x:c>
    </x:row>
    <x:row r="105">
      <x:c r="A105" s="1"/>
      <x:c r="B105" s="5"/>
      <x:c r="C105" s="7" t="str">
        <x:f>IF(B105="","",YEAR(B105))</x:f>
      </x:c>
      <x:c r="D105" s="7" t="str">
        <x:f>IF(B105="","",INT((MONTH(B105)-1)/3)+1)</x:f>
      </x:c>
      <x:c r="E105" s="1"/>
      <x:c r="F105" s="1"/>
      <x:c r="G105" s="1"/>
      <x:c r="H105" s="1"/>
      <x:c r="I105" s="6"/>
      <x:c r="J105" s="6"/>
      <x:c r="K105" s="6"/>
      <x:c r="L105" s="8" t="str">
        <x:f>IF(I105="","",I105+J105-K105)</x:f>
      </x:c>
      <x:c r="M105" s="1"/>
      <x:c r="N105" s="1"/>
      <x:c r="O105" s="1"/>
      <x:c r="P105" s="1"/>
      <x:c r="Q105" s="6"/>
      <x:c r="R105" s="6"/>
      <x:c r="S105" s="8" t="n">
        <x:f>IF(AND(M105="Confirmado",ISNUMBER(Q105)),Q105,0)</x:f>
        <x:v>0</x:v>
      </x:c>
      <x:c r="T105" s="8" t="n">
        <x:f>IF(AND(M105="Confirmado",ISNUMBER(R105)),R105,0)</x:f>
        <x:v>0</x:v>
      </x:c>
    </x:row>
    <x:row r="106">
      <x:c r="A106" s="1"/>
      <x:c r="B106" s="5"/>
      <x:c r="C106" s="7" t="str">
        <x:f>IF(B106="","",YEAR(B106))</x:f>
      </x:c>
      <x:c r="D106" s="7" t="str">
        <x:f>IF(B106="","",INT((MONTH(B106)-1)/3)+1)</x:f>
      </x:c>
      <x:c r="E106" s="1"/>
      <x:c r="F106" s="1"/>
      <x:c r="G106" s="1"/>
      <x:c r="H106" s="1"/>
      <x:c r="I106" s="6"/>
      <x:c r="J106" s="6"/>
      <x:c r="K106" s="6"/>
      <x:c r="L106" s="8" t="str">
        <x:f>IF(I106="","",I106+J106-K106)</x:f>
      </x:c>
      <x:c r="M106" s="1"/>
      <x:c r="N106" s="1"/>
      <x:c r="O106" s="1"/>
      <x:c r="P106" s="1"/>
      <x:c r="Q106" s="6"/>
      <x:c r="R106" s="6"/>
      <x:c r="S106" s="8" t="n">
        <x:f>IF(AND(M106="Confirmado",ISNUMBER(Q106)),Q106,0)</x:f>
        <x:v>0</x:v>
      </x:c>
      <x:c r="T106" s="8" t="n">
        <x:f>IF(AND(M106="Confirmado",ISNUMBER(R106)),R106,0)</x:f>
        <x:v>0</x:v>
      </x:c>
    </x:row>
    <x:row r="107">
      <x:c r="A107" s="1"/>
      <x:c r="B107" s="5"/>
      <x:c r="C107" s="7" t="str">
        <x:f>IF(B107="","",YEAR(B107))</x:f>
      </x:c>
      <x:c r="D107" s="7" t="str">
        <x:f>IF(B107="","",INT((MONTH(B107)-1)/3)+1)</x:f>
      </x:c>
      <x:c r="E107" s="1"/>
      <x:c r="F107" s="1"/>
      <x:c r="G107" s="1"/>
      <x:c r="H107" s="1"/>
      <x:c r="I107" s="6"/>
      <x:c r="J107" s="6"/>
      <x:c r="K107" s="6"/>
      <x:c r="L107" s="8" t="str">
        <x:f>IF(I107="","",I107+J107-K107)</x:f>
      </x:c>
      <x:c r="M107" s="1"/>
      <x:c r="N107" s="1"/>
      <x:c r="O107" s="1"/>
      <x:c r="P107" s="1"/>
      <x:c r="Q107" s="6"/>
      <x:c r="R107" s="6"/>
      <x:c r="S107" s="8" t="n">
        <x:f>IF(AND(M107="Confirmado",ISNUMBER(Q107)),Q107,0)</x:f>
        <x:v>0</x:v>
      </x:c>
      <x:c r="T107" s="8" t="n">
        <x:f>IF(AND(M107="Confirmado",ISNUMBER(R107)),R107,0)</x:f>
        <x:v>0</x:v>
      </x:c>
    </x:row>
    <x:row r="108">
      <x:c r="A108" s="1"/>
      <x:c r="B108" s="5"/>
      <x:c r="C108" s="7" t="str">
        <x:f>IF(B108="","",YEAR(B108))</x:f>
      </x:c>
      <x:c r="D108" s="7" t="str">
        <x:f>IF(B108="","",INT((MONTH(B108)-1)/3)+1)</x:f>
      </x:c>
      <x:c r="E108" s="1"/>
      <x:c r="F108" s="1"/>
      <x:c r="G108" s="1"/>
      <x:c r="H108" s="1"/>
      <x:c r="I108" s="6"/>
      <x:c r="J108" s="6"/>
      <x:c r="K108" s="6"/>
      <x:c r="L108" s="8" t="str">
        <x:f>IF(I108="","",I108+J108-K108)</x:f>
      </x:c>
      <x:c r="M108" s="1"/>
      <x:c r="N108" s="1"/>
      <x:c r="O108" s="1"/>
      <x:c r="P108" s="1"/>
      <x:c r="Q108" s="6"/>
      <x:c r="R108" s="6"/>
      <x:c r="S108" s="8" t="n">
        <x:f>IF(AND(M108="Confirmado",ISNUMBER(Q108)),Q108,0)</x:f>
        <x:v>0</x:v>
      </x:c>
      <x:c r="T108" s="8" t="n">
        <x:f>IF(AND(M108="Confirmado",ISNUMBER(R108)),R108,0)</x:f>
        <x:v>0</x:v>
      </x:c>
    </x:row>
    <x:row r="109">
      <x:c r="A109" s="1"/>
      <x:c r="B109" s="5"/>
      <x:c r="C109" s="7" t="str">
        <x:f>IF(B109="","",YEAR(B109))</x:f>
      </x:c>
      <x:c r="D109" s="7" t="str">
        <x:f>IF(B109="","",INT((MONTH(B109)-1)/3)+1)</x:f>
      </x:c>
      <x:c r="E109" s="1"/>
      <x:c r="F109" s="1"/>
      <x:c r="G109" s="1"/>
      <x:c r="H109" s="1"/>
      <x:c r="I109" s="6"/>
      <x:c r="J109" s="6"/>
      <x:c r="K109" s="6"/>
      <x:c r="L109" s="8" t="str">
        <x:f>IF(I109="","",I109+J109-K109)</x:f>
      </x:c>
      <x:c r="M109" s="1"/>
      <x:c r="N109" s="1"/>
      <x:c r="O109" s="1"/>
      <x:c r="P109" s="1"/>
      <x:c r="Q109" s="6"/>
      <x:c r="R109" s="6"/>
      <x:c r="S109" s="8" t="n">
        <x:f>IF(AND(M109="Confirmado",ISNUMBER(Q109)),Q109,0)</x:f>
        <x:v>0</x:v>
      </x:c>
      <x:c r="T109" s="8" t="n">
        <x:f>IF(AND(M109="Confirmado",ISNUMBER(R109)),R109,0)</x:f>
        <x:v>0</x:v>
      </x:c>
    </x:row>
    <x:row r="110">
      <x:c r="A110" s="1"/>
      <x:c r="B110" s="5"/>
      <x:c r="C110" s="7" t="str">
        <x:f>IF(B110="","",YEAR(B110))</x:f>
      </x:c>
      <x:c r="D110" s="7" t="str">
        <x:f>IF(B110="","",INT((MONTH(B110)-1)/3)+1)</x:f>
      </x:c>
      <x:c r="E110" s="1"/>
      <x:c r="F110" s="1"/>
      <x:c r="G110" s="1"/>
      <x:c r="H110" s="1"/>
      <x:c r="I110" s="6"/>
      <x:c r="J110" s="6"/>
      <x:c r="K110" s="6"/>
      <x:c r="L110" s="8" t="str">
        <x:f>IF(I110="","",I110+J110-K110)</x:f>
      </x:c>
      <x:c r="M110" s="1"/>
      <x:c r="N110" s="1"/>
      <x:c r="O110" s="1"/>
      <x:c r="P110" s="1"/>
      <x:c r="Q110" s="6"/>
      <x:c r="R110" s="6"/>
      <x:c r="S110" s="8" t="n">
        <x:f>IF(AND(M110="Confirmado",ISNUMBER(Q110)),Q110,0)</x:f>
        <x:v>0</x:v>
      </x:c>
      <x:c r="T110" s="8" t="n">
        <x:f>IF(AND(M110="Confirmado",ISNUMBER(R110)),R110,0)</x:f>
        <x:v>0</x:v>
      </x:c>
    </x:row>
    <x:row r="111">
      <x:c r="A111" s="1"/>
      <x:c r="B111" s="5"/>
      <x:c r="C111" s="7" t="str">
        <x:f>IF(B111="","",YEAR(B111))</x:f>
      </x:c>
      <x:c r="D111" s="7" t="str">
        <x:f>IF(B111="","",INT((MONTH(B111)-1)/3)+1)</x:f>
      </x:c>
      <x:c r="E111" s="1"/>
      <x:c r="F111" s="1"/>
      <x:c r="G111" s="1"/>
      <x:c r="H111" s="1"/>
      <x:c r="I111" s="6"/>
      <x:c r="J111" s="6"/>
      <x:c r="K111" s="6"/>
      <x:c r="L111" s="8" t="str">
        <x:f>IF(I111="","",I111+J111-K111)</x:f>
      </x:c>
      <x:c r="M111" s="1"/>
      <x:c r="N111" s="1"/>
      <x:c r="O111" s="1"/>
      <x:c r="P111" s="1"/>
      <x:c r="Q111" s="6"/>
      <x:c r="R111" s="6"/>
      <x:c r="S111" s="8" t="n">
        <x:f>IF(AND(M111="Confirmado",ISNUMBER(Q111)),Q111,0)</x:f>
        <x:v>0</x:v>
      </x:c>
      <x:c r="T111" s="8" t="n">
        <x:f>IF(AND(M111="Confirmado",ISNUMBER(R111)),R111,0)</x:f>
        <x:v>0</x:v>
      </x:c>
    </x:row>
    <x:row r="112">
      <x:c r="A112" s="1"/>
      <x:c r="B112" s="5"/>
      <x:c r="C112" s="7" t="str">
        <x:f>IF(B112="","",YEAR(B112))</x:f>
      </x:c>
      <x:c r="D112" s="7" t="str">
        <x:f>IF(B112="","",INT((MONTH(B112)-1)/3)+1)</x:f>
      </x:c>
      <x:c r="E112" s="1"/>
      <x:c r="F112" s="1"/>
      <x:c r="G112" s="1"/>
      <x:c r="H112" s="1"/>
      <x:c r="I112" s="6"/>
      <x:c r="J112" s="6"/>
      <x:c r="K112" s="6"/>
      <x:c r="L112" s="8" t="str">
        <x:f>IF(I112="","",I112+J112-K112)</x:f>
      </x:c>
      <x:c r="M112" s="1"/>
      <x:c r="N112" s="1"/>
      <x:c r="O112" s="1"/>
      <x:c r="P112" s="1"/>
      <x:c r="Q112" s="6"/>
      <x:c r="R112" s="6"/>
      <x:c r="S112" s="8" t="n">
        <x:f>IF(AND(M112="Confirmado",ISNUMBER(Q112)),Q112,0)</x:f>
        <x:v>0</x:v>
      </x:c>
      <x:c r="T112" s="8" t="n">
        <x:f>IF(AND(M112="Confirmado",ISNUMBER(R112)),R112,0)</x:f>
        <x:v>0</x:v>
      </x:c>
    </x:row>
    <x:row r="113">
      <x:c r="A113" s="1"/>
      <x:c r="B113" s="5"/>
      <x:c r="C113" s="7" t="str">
        <x:f>IF(B113="","",YEAR(B113))</x:f>
      </x:c>
      <x:c r="D113" s="7" t="str">
        <x:f>IF(B113="","",INT((MONTH(B113)-1)/3)+1)</x:f>
      </x:c>
      <x:c r="E113" s="1"/>
      <x:c r="F113" s="1"/>
      <x:c r="G113" s="1"/>
      <x:c r="H113" s="1"/>
      <x:c r="I113" s="6"/>
      <x:c r="J113" s="6"/>
      <x:c r="K113" s="6"/>
      <x:c r="L113" s="8" t="str">
        <x:f>IF(I113="","",I113+J113-K113)</x:f>
      </x:c>
      <x:c r="M113" s="1"/>
      <x:c r="N113" s="1"/>
      <x:c r="O113" s="1"/>
      <x:c r="P113" s="1"/>
      <x:c r="Q113" s="6"/>
      <x:c r="R113" s="6"/>
      <x:c r="S113" s="8" t="n">
        <x:f>IF(AND(M113="Confirmado",ISNUMBER(Q113)),Q113,0)</x:f>
        <x:v>0</x:v>
      </x:c>
      <x:c r="T113" s="8" t="n">
        <x:f>IF(AND(M113="Confirmado",ISNUMBER(R113)),R113,0)</x:f>
        <x:v>0</x:v>
      </x:c>
    </x:row>
    <x:row r="114">
      <x:c r="A114" s="1"/>
      <x:c r="B114" s="5"/>
      <x:c r="C114" s="7" t="str">
        <x:f>IF(B114="","",YEAR(B114))</x:f>
      </x:c>
      <x:c r="D114" s="7" t="str">
        <x:f>IF(B114="","",INT((MONTH(B114)-1)/3)+1)</x:f>
      </x:c>
      <x:c r="E114" s="1"/>
      <x:c r="F114" s="1"/>
      <x:c r="G114" s="1"/>
      <x:c r="H114" s="1"/>
      <x:c r="I114" s="6"/>
      <x:c r="J114" s="6"/>
      <x:c r="K114" s="6"/>
      <x:c r="L114" s="8" t="str">
        <x:f>IF(I114="","",I114+J114-K114)</x:f>
      </x:c>
      <x:c r="M114" s="1"/>
      <x:c r="N114" s="1"/>
      <x:c r="O114" s="1"/>
      <x:c r="P114" s="1"/>
      <x:c r="Q114" s="6"/>
      <x:c r="R114" s="6"/>
      <x:c r="S114" s="8" t="n">
        <x:f>IF(AND(M114="Confirmado",ISNUMBER(Q114)),Q114,0)</x:f>
        <x:v>0</x:v>
      </x:c>
      <x:c r="T114" s="8" t="n">
        <x:f>IF(AND(M114="Confirmado",ISNUMBER(R114)),R114,0)</x:f>
        <x:v>0</x:v>
      </x:c>
    </x:row>
    <x:row r="115">
      <x:c r="A115" s="1"/>
      <x:c r="B115" s="5"/>
      <x:c r="C115" s="7" t="str">
        <x:f>IF(B115="","",YEAR(B115))</x:f>
      </x:c>
      <x:c r="D115" s="7" t="str">
        <x:f>IF(B115="","",INT((MONTH(B115)-1)/3)+1)</x:f>
      </x:c>
      <x:c r="E115" s="1"/>
      <x:c r="F115" s="1"/>
      <x:c r="G115" s="1"/>
      <x:c r="H115" s="1"/>
      <x:c r="I115" s="6"/>
      <x:c r="J115" s="6"/>
      <x:c r="K115" s="6"/>
      <x:c r="L115" s="8" t="str">
        <x:f>IF(I115="","",I115+J115-K115)</x:f>
      </x:c>
      <x:c r="M115" s="1"/>
      <x:c r="N115" s="1"/>
      <x:c r="O115" s="1"/>
      <x:c r="P115" s="1"/>
      <x:c r="Q115" s="6"/>
      <x:c r="R115" s="6"/>
      <x:c r="S115" s="8" t="n">
        <x:f>IF(AND(M115="Confirmado",ISNUMBER(Q115)),Q115,0)</x:f>
        <x:v>0</x:v>
      </x:c>
      <x:c r="T115" s="8" t="n">
        <x:f>IF(AND(M115="Confirmado",ISNUMBER(R115)),R115,0)</x:f>
        <x:v>0</x:v>
      </x:c>
    </x:row>
    <x:row r="116">
      <x:c r="A116" s="1"/>
      <x:c r="B116" s="5"/>
      <x:c r="C116" s="7" t="str">
        <x:f>IF(B116="","",YEAR(B116))</x:f>
      </x:c>
      <x:c r="D116" s="7" t="str">
        <x:f>IF(B116="","",INT((MONTH(B116)-1)/3)+1)</x:f>
      </x:c>
      <x:c r="E116" s="1"/>
      <x:c r="F116" s="1"/>
      <x:c r="G116" s="1"/>
      <x:c r="H116" s="1"/>
      <x:c r="I116" s="6"/>
      <x:c r="J116" s="6"/>
      <x:c r="K116" s="6"/>
      <x:c r="L116" s="8" t="str">
        <x:f>IF(I116="","",I116+J116-K116)</x:f>
      </x:c>
      <x:c r="M116" s="1"/>
      <x:c r="N116" s="1"/>
      <x:c r="O116" s="1"/>
      <x:c r="P116" s="1"/>
      <x:c r="Q116" s="6"/>
      <x:c r="R116" s="6"/>
      <x:c r="S116" s="8" t="n">
        <x:f>IF(AND(M116="Confirmado",ISNUMBER(Q116)),Q116,0)</x:f>
        <x:v>0</x:v>
      </x:c>
      <x:c r="T116" s="8" t="n">
        <x:f>IF(AND(M116="Confirmado",ISNUMBER(R116)),R116,0)</x:f>
        <x:v>0</x:v>
      </x:c>
    </x:row>
    <x:row r="117">
      <x:c r="A117" s="1"/>
      <x:c r="B117" s="5"/>
      <x:c r="C117" s="7" t="str">
        <x:f>IF(B117="","",YEAR(B117))</x:f>
      </x:c>
      <x:c r="D117" s="7" t="str">
        <x:f>IF(B117="","",INT((MONTH(B117)-1)/3)+1)</x:f>
      </x:c>
      <x:c r="E117" s="1"/>
      <x:c r="F117" s="1"/>
      <x:c r="G117" s="1"/>
      <x:c r="H117" s="1"/>
      <x:c r="I117" s="6"/>
      <x:c r="J117" s="6"/>
      <x:c r="K117" s="6"/>
      <x:c r="L117" s="8" t="str">
        <x:f>IF(I117="","",I117+J117-K117)</x:f>
      </x:c>
      <x:c r="M117" s="1"/>
      <x:c r="N117" s="1"/>
      <x:c r="O117" s="1"/>
      <x:c r="P117" s="1"/>
      <x:c r="Q117" s="6"/>
      <x:c r="R117" s="6"/>
      <x:c r="S117" s="8" t="n">
        <x:f>IF(AND(M117="Confirmado",ISNUMBER(Q117)),Q117,0)</x:f>
        <x:v>0</x:v>
      </x:c>
      <x:c r="T117" s="8" t="n">
        <x:f>IF(AND(M117="Confirmado",ISNUMBER(R117)),R117,0)</x:f>
        <x:v>0</x:v>
      </x:c>
    </x:row>
    <x:row r="118">
      <x:c r="A118" s="1"/>
      <x:c r="B118" s="5"/>
      <x:c r="C118" s="7" t="str">
        <x:f>IF(B118="","",YEAR(B118))</x:f>
      </x:c>
      <x:c r="D118" s="7" t="str">
        <x:f>IF(B118="","",INT((MONTH(B118)-1)/3)+1)</x:f>
      </x:c>
      <x:c r="E118" s="1"/>
      <x:c r="F118" s="1"/>
      <x:c r="G118" s="1"/>
      <x:c r="H118" s="1"/>
      <x:c r="I118" s="6"/>
      <x:c r="J118" s="6"/>
      <x:c r="K118" s="6"/>
      <x:c r="L118" s="8" t="str">
        <x:f>IF(I118="","",I118+J118-K118)</x:f>
      </x:c>
      <x:c r="M118" s="1"/>
      <x:c r="N118" s="1"/>
      <x:c r="O118" s="1"/>
      <x:c r="P118" s="1"/>
      <x:c r="Q118" s="6"/>
      <x:c r="R118" s="6"/>
      <x:c r="S118" s="8" t="n">
        <x:f>IF(AND(M118="Confirmado",ISNUMBER(Q118)),Q118,0)</x:f>
        <x:v>0</x:v>
      </x:c>
      <x:c r="T118" s="8" t="n">
        <x:f>IF(AND(M118="Confirmado",ISNUMBER(R118)),R118,0)</x:f>
        <x:v>0</x:v>
      </x:c>
    </x:row>
    <x:row r="119">
      <x:c r="A119" s="1"/>
      <x:c r="B119" s="5"/>
      <x:c r="C119" s="7" t="str">
        <x:f>IF(B119="","",YEAR(B119))</x:f>
      </x:c>
      <x:c r="D119" s="7" t="str">
        <x:f>IF(B119="","",INT((MONTH(B119)-1)/3)+1)</x:f>
      </x:c>
      <x:c r="E119" s="1"/>
      <x:c r="F119" s="1"/>
      <x:c r="G119" s="1"/>
      <x:c r="H119" s="1"/>
      <x:c r="I119" s="6"/>
      <x:c r="J119" s="6"/>
      <x:c r="K119" s="6"/>
      <x:c r="L119" s="8" t="str">
        <x:f>IF(I119="","",I119+J119-K119)</x:f>
      </x:c>
      <x:c r="M119" s="1"/>
      <x:c r="N119" s="1"/>
      <x:c r="O119" s="1"/>
      <x:c r="P119" s="1"/>
      <x:c r="Q119" s="6"/>
      <x:c r="R119" s="6"/>
      <x:c r="S119" s="8" t="n">
        <x:f>IF(AND(M119="Confirmado",ISNUMBER(Q119)),Q119,0)</x:f>
        <x:v>0</x:v>
      </x:c>
      <x:c r="T119" s="8" t="n">
        <x:f>IF(AND(M119="Confirmado",ISNUMBER(R119)),R119,0)</x:f>
        <x:v>0</x:v>
      </x:c>
    </x:row>
    <x:row r="120">
      <x:c r="A120" s="1"/>
      <x:c r="B120" s="5"/>
      <x:c r="C120" s="7" t="str">
        <x:f>IF(B120="","",YEAR(B120))</x:f>
      </x:c>
      <x:c r="D120" s="7" t="str">
        <x:f>IF(B120="","",INT((MONTH(B120)-1)/3)+1)</x:f>
      </x:c>
      <x:c r="E120" s="1"/>
      <x:c r="F120" s="1"/>
      <x:c r="G120" s="1"/>
      <x:c r="H120" s="1"/>
      <x:c r="I120" s="6"/>
      <x:c r="J120" s="6"/>
      <x:c r="K120" s="6"/>
      <x:c r="L120" s="8" t="str">
        <x:f>IF(I120="","",I120+J120-K120)</x:f>
      </x:c>
      <x:c r="M120" s="1"/>
      <x:c r="N120" s="1"/>
      <x:c r="O120" s="1"/>
      <x:c r="P120" s="1"/>
      <x:c r="Q120" s="6"/>
      <x:c r="R120" s="6"/>
      <x:c r="S120" s="8" t="n">
        <x:f>IF(AND(M120="Confirmado",ISNUMBER(Q120)),Q120,0)</x:f>
        <x:v>0</x:v>
      </x:c>
      <x:c r="T120" s="8" t="n">
        <x:f>IF(AND(M120="Confirmado",ISNUMBER(R120)),R120,0)</x:f>
        <x:v>0</x:v>
      </x:c>
    </x:row>
    <x:row r="121">
      <x:c r="A121" s="1"/>
      <x:c r="B121" s="5"/>
      <x:c r="C121" s="7" t="str">
        <x:f>IF(B121="","",YEAR(B121))</x:f>
      </x:c>
      <x:c r="D121" s="7" t="str">
        <x:f>IF(B121="","",INT((MONTH(B121)-1)/3)+1)</x:f>
      </x:c>
      <x:c r="E121" s="1"/>
      <x:c r="F121" s="1"/>
      <x:c r="G121" s="1"/>
      <x:c r="H121" s="1"/>
      <x:c r="I121" s="6"/>
      <x:c r="J121" s="6"/>
      <x:c r="K121" s="6"/>
      <x:c r="L121" s="8" t="str">
        <x:f>IF(I121="","",I121+J121-K121)</x:f>
      </x:c>
      <x:c r="M121" s="1"/>
      <x:c r="N121" s="1"/>
      <x:c r="O121" s="1"/>
      <x:c r="P121" s="1"/>
      <x:c r="Q121" s="6"/>
      <x:c r="R121" s="6"/>
      <x:c r="S121" s="8" t="n">
        <x:f>IF(AND(M121="Confirmado",ISNUMBER(Q121)),Q121,0)</x:f>
        <x:v>0</x:v>
      </x:c>
      <x:c r="T121" s="8" t="n">
        <x:f>IF(AND(M121="Confirmado",ISNUMBER(R121)),R121,0)</x:f>
        <x:v>0</x:v>
      </x:c>
    </x:row>
    <x:row r="122">
      <x:c r="A122" s="1"/>
      <x:c r="B122" s="5"/>
      <x:c r="C122" s="7" t="str">
        <x:f>IF(B122="","",YEAR(B122))</x:f>
      </x:c>
      <x:c r="D122" s="7" t="str">
        <x:f>IF(B122="","",INT((MONTH(B122)-1)/3)+1)</x:f>
      </x:c>
      <x:c r="E122" s="1"/>
      <x:c r="F122" s="1"/>
      <x:c r="G122" s="1"/>
      <x:c r="H122" s="1"/>
      <x:c r="I122" s="6"/>
      <x:c r="J122" s="6"/>
      <x:c r="K122" s="6"/>
      <x:c r="L122" s="8" t="str">
        <x:f>IF(I122="","",I122+J122-K122)</x:f>
      </x:c>
      <x:c r="M122" s="1"/>
      <x:c r="N122" s="1"/>
      <x:c r="O122" s="1"/>
      <x:c r="P122" s="1"/>
      <x:c r="Q122" s="6"/>
      <x:c r="R122" s="6"/>
      <x:c r="S122" s="8" t="n">
        <x:f>IF(AND(M122="Confirmado",ISNUMBER(Q122)),Q122,0)</x:f>
        <x:v>0</x:v>
      </x:c>
      <x:c r="T122" s="8" t="n">
        <x:f>IF(AND(M122="Confirmado",ISNUMBER(R122)),R122,0)</x:f>
        <x:v>0</x:v>
      </x:c>
    </x:row>
    <x:row r="123">
      <x:c r="A123" s="1"/>
      <x:c r="B123" s="5"/>
      <x:c r="C123" s="7" t="str">
        <x:f>IF(B123="","",YEAR(B123))</x:f>
      </x:c>
      <x:c r="D123" s="7" t="str">
        <x:f>IF(B123="","",INT((MONTH(B123)-1)/3)+1)</x:f>
      </x:c>
      <x:c r="E123" s="1"/>
      <x:c r="F123" s="1"/>
      <x:c r="G123" s="1"/>
      <x:c r="H123" s="1"/>
      <x:c r="I123" s="6"/>
      <x:c r="J123" s="6"/>
      <x:c r="K123" s="6"/>
      <x:c r="L123" s="8" t="str">
        <x:f>IF(I123="","",I123+J123-K123)</x:f>
      </x:c>
      <x:c r="M123" s="1"/>
      <x:c r="N123" s="1"/>
      <x:c r="O123" s="1"/>
      <x:c r="P123" s="1"/>
      <x:c r="Q123" s="6"/>
      <x:c r="R123" s="6"/>
      <x:c r="S123" s="8" t="n">
        <x:f>IF(AND(M123="Confirmado",ISNUMBER(Q123)),Q123,0)</x:f>
        <x:v>0</x:v>
      </x:c>
      <x:c r="T123" s="8" t="n">
        <x:f>IF(AND(M123="Confirmado",ISNUMBER(R123)),R123,0)</x:f>
        <x:v>0</x:v>
      </x:c>
    </x:row>
    <x:row r="124">
      <x:c r="A124" s="1"/>
      <x:c r="B124" s="5"/>
      <x:c r="C124" s="7" t="str">
        <x:f>IF(B124="","",YEAR(B124))</x:f>
      </x:c>
      <x:c r="D124" s="7" t="str">
        <x:f>IF(B124="","",INT((MONTH(B124)-1)/3)+1)</x:f>
      </x:c>
      <x:c r="E124" s="1"/>
      <x:c r="F124" s="1"/>
      <x:c r="G124" s="1"/>
      <x:c r="H124" s="1"/>
      <x:c r="I124" s="6"/>
      <x:c r="J124" s="6"/>
      <x:c r="K124" s="6"/>
      <x:c r="L124" s="8" t="str">
        <x:f>IF(I124="","",I124+J124-K124)</x:f>
      </x:c>
      <x:c r="M124" s="1"/>
      <x:c r="N124" s="1"/>
      <x:c r="O124" s="1"/>
      <x:c r="P124" s="1"/>
      <x:c r="Q124" s="6"/>
      <x:c r="R124" s="6"/>
      <x:c r="S124" s="8" t="n">
        <x:f>IF(AND(M124="Confirmado",ISNUMBER(Q124)),Q124,0)</x:f>
        <x:v>0</x:v>
      </x:c>
      <x:c r="T124" s="8" t="n">
        <x:f>IF(AND(M124="Confirmado",ISNUMBER(R124)),R124,0)</x:f>
        <x:v>0</x:v>
      </x:c>
    </x:row>
    <x:row r="125">
      <x:c r="A125" s="1"/>
      <x:c r="B125" s="5"/>
      <x:c r="C125" s="7" t="str">
        <x:f>IF(B125="","",YEAR(B125))</x:f>
      </x:c>
      <x:c r="D125" s="7" t="str">
        <x:f>IF(B125="","",INT((MONTH(B125)-1)/3)+1)</x:f>
      </x:c>
      <x:c r="E125" s="1"/>
      <x:c r="F125" s="1"/>
      <x:c r="G125" s="1"/>
      <x:c r="H125" s="1"/>
      <x:c r="I125" s="6"/>
      <x:c r="J125" s="6"/>
      <x:c r="K125" s="6"/>
      <x:c r="L125" s="8" t="str">
        <x:f>IF(I125="","",I125+J125-K125)</x:f>
      </x:c>
      <x:c r="M125" s="1"/>
      <x:c r="N125" s="1"/>
      <x:c r="O125" s="1"/>
      <x:c r="P125" s="1"/>
      <x:c r="Q125" s="6"/>
      <x:c r="R125" s="6"/>
      <x:c r="S125" s="8" t="n">
        <x:f>IF(AND(M125="Confirmado",ISNUMBER(Q125)),Q125,0)</x:f>
        <x:v>0</x:v>
      </x:c>
      <x:c r="T125" s="8" t="n">
        <x:f>IF(AND(M125="Confirmado",ISNUMBER(R125)),R125,0)</x:f>
        <x:v>0</x:v>
      </x:c>
    </x:row>
    <x:row r="126">
      <x:c r="A126" s="1"/>
      <x:c r="B126" s="5"/>
      <x:c r="C126" s="7" t="str">
        <x:f>IF(B126="","",YEAR(B126))</x:f>
      </x:c>
      <x:c r="D126" s="7" t="str">
        <x:f>IF(B126="","",INT((MONTH(B126)-1)/3)+1)</x:f>
      </x:c>
      <x:c r="E126" s="1"/>
      <x:c r="F126" s="1"/>
      <x:c r="G126" s="1"/>
      <x:c r="H126" s="1"/>
      <x:c r="I126" s="6"/>
      <x:c r="J126" s="6"/>
      <x:c r="K126" s="6"/>
      <x:c r="L126" s="8" t="str">
        <x:f>IF(I126="","",I126+J126-K126)</x:f>
      </x:c>
      <x:c r="M126" s="1"/>
      <x:c r="N126" s="1"/>
      <x:c r="O126" s="1"/>
      <x:c r="P126" s="1"/>
      <x:c r="Q126" s="6"/>
      <x:c r="R126" s="6"/>
      <x:c r="S126" s="8" t="n">
        <x:f>IF(AND(M126="Confirmado",ISNUMBER(Q126)),Q126,0)</x:f>
        <x:v>0</x:v>
      </x:c>
      <x:c r="T126" s="8" t="n">
        <x:f>IF(AND(M126="Confirmado",ISNUMBER(R126)),R126,0)</x:f>
        <x:v>0</x:v>
      </x:c>
    </x:row>
    <x:row r="127">
      <x:c r="A127" s="1"/>
      <x:c r="B127" s="5"/>
      <x:c r="C127" s="7" t="str">
        <x:f>IF(B127="","",YEAR(B127))</x:f>
      </x:c>
      <x:c r="D127" s="7" t="str">
        <x:f>IF(B127="","",INT((MONTH(B127)-1)/3)+1)</x:f>
      </x:c>
      <x:c r="E127" s="1"/>
      <x:c r="F127" s="1"/>
      <x:c r="G127" s="1"/>
      <x:c r="H127" s="1"/>
      <x:c r="I127" s="6"/>
      <x:c r="J127" s="6"/>
      <x:c r="K127" s="6"/>
      <x:c r="L127" s="8" t="str">
        <x:f>IF(I127="","",I127+J127-K127)</x:f>
      </x:c>
      <x:c r="M127" s="1"/>
      <x:c r="N127" s="1"/>
      <x:c r="O127" s="1"/>
      <x:c r="P127" s="1"/>
      <x:c r="Q127" s="6"/>
      <x:c r="R127" s="6"/>
      <x:c r="S127" s="8" t="n">
        <x:f>IF(AND(M127="Confirmado",ISNUMBER(Q127)),Q127,0)</x:f>
        <x:v>0</x:v>
      </x:c>
      <x:c r="T127" s="8" t="n">
        <x:f>IF(AND(M127="Confirmado",ISNUMBER(R127)),R127,0)</x:f>
        <x:v>0</x:v>
      </x:c>
    </x:row>
    <x:row r="128">
      <x:c r="A128" s="1"/>
      <x:c r="B128" s="5"/>
      <x:c r="C128" s="7" t="str">
        <x:f>IF(B128="","",YEAR(B128))</x:f>
      </x:c>
      <x:c r="D128" s="7" t="str">
        <x:f>IF(B128="","",INT((MONTH(B128)-1)/3)+1)</x:f>
      </x:c>
      <x:c r="E128" s="1"/>
      <x:c r="F128" s="1"/>
      <x:c r="G128" s="1"/>
      <x:c r="H128" s="1"/>
      <x:c r="I128" s="6"/>
      <x:c r="J128" s="6"/>
      <x:c r="K128" s="6"/>
      <x:c r="L128" s="8" t="str">
        <x:f>IF(I128="","",I128+J128-K128)</x:f>
      </x:c>
      <x:c r="M128" s="1"/>
      <x:c r="N128" s="1"/>
      <x:c r="O128" s="1"/>
      <x:c r="P128" s="1"/>
      <x:c r="Q128" s="6"/>
      <x:c r="R128" s="6"/>
      <x:c r="S128" s="8" t="n">
        <x:f>IF(AND(M128="Confirmado",ISNUMBER(Q128)),Q128,0)</x:f>
        <x:v>0</x:v>
      </x:c>
      <x:c r="T128" s="8" t="n">
        <x:f>IF(AND(M128="Confirmado",ISNUMBER(R128)),R128,0)</x:f>
        <x:v>0</x:v>
      </x:c>
    </x:row>
    <x:row r="129">
      <x:c r="A129" s="1"/>
      <x:c r="B129" s="5"/>
      <x:c r="C129" s="7" t="str">
        <x:f>IF(B129="","",YEAR(B129))</x:f>
      </x:c>
      <x:c r="D129" s="7" t="str">
        <x:f>IF(B129="","",INT((MONTH(B129)-1)/3)+1)</x:f>
      </x:c>
      <x:c r="E129" s="1"/>
      <x:c r="F129" s="1"/>
      <x:c r="G129" s="1"/>
      <x:c r="H129" s="1"/>
      <x:c r="I129" s="6"/>
      <x:c r="J129" s="6"/>
      <x:c r="K129" s="6"/>
      <x:c r="L129" s="8" t="str">
        <x:f>IF(I129="","",I129+J129-K129)</x:f>
      </x:c>
      <x:c r="M129" s="1"/>
      <x:c r="N129" s="1"/>
      <x:c r="O129" s="1"/>
      <x:c r="P129" s="1"/>
      <x:c r="Q129" s="6"/>
      <x:c r="R129" s="6"/>
      <x:c r="S129" s="8" t="n">
        <x:f>IF(AND(M129="Confirmado",ISNUMBER(Q129)),Q129,0)</x:f>
        <x:v>0</x:v>
      </x:c>
      <x:c r="T129" s="8" t="n">
        <x:f>IF(AND(M129="Confirmado",ISNUMBER(R129)),R129,0)</x:f>
        <x:v>0</x:v>
      </x:c>
    </x:row>
    <x:row r="130">
      <x:c r="A130" s="1"/>
      <x:c r="B130" s="5"/>
      <x:c r="C130" s="7" t="str">
        <x:f>IF(B130="","",YEAR(B130))</x:f>
      </x:c>
      <x:c r="D130" s="7" t="str">
        <x:f>IF(B130="","",INT((MONTH(B130)-1)/3)+1)</x:f>
      </x:c>
      <x:c r="E130" s="1"/>
      <x:c r="F130" s="1"/>
      <x:c r="G130" s="1"/>
      <x:c r="H130" s="1"/>
      <x:c r="I130" s="6"/>
      <x:c r="J130" s="6"/>
      <x:c r="K130" s="6"/>
      <x:c r="L130" s="8" t="str">
        <x:f>IF(I130="","",I130+J130-K130)</x:f>
      </x:c>
      <x:c r="M130" s="1"/>
      <x:c r="N130" s="1"/>
      <x:c r="O130" s="1"/>
      <x:c r="P130" s="1"/>
      <x:c r="Q130" s="6"/>
      <x:c r="R130" s="6"/>
      <x:c r="S130" s="8" t="n">
        <x:f>IF(AND(M130="Confirmado",ISNUMBER(Q130)),Q130,0)</x:f>
        <x:v>0</x:v>
      </x:c>
      <x:c r="T130" s="8" t="n">
        <x:f>IF(AND(M130="Confirmado",ISNUMBER(R130)),R130,0)</x:f>
        <x:v>0</x:v>
      </x:c>
    </x:row>
    <x:row r="131">
      <x:c r="A131" s="1"/>
      <x:c r="B131" s="5"/>
      <x:c r="C131" s="7" t="str">
        <x:f>IF(B131="","",YEAR(B131))</x:f>
      </x:c>
      <x:c r="D131" s="7" t="str">
        <x:f>IF(B131="","",INT((MONTH(B131)-1)/3)+1)</x:f>
      </x:c>
      <x:c r="E131" s="1"/>
      <x:c r="F131" s="1"/>
      <x:c r="G131" s="1"/>
      <x:c r="H131" s="1"/>
      <x:c r="I131" s="6"/>
      <x:c r="J131" s="6"/>
      <x:c r="K131" s="6"/>
      <x:c r="L131" s="8" t="str">
        <x:f>IF(I131="","",I131+J131-K131)</x:f>
      </x:c>
      <x:c r="M131" s="1"/>
      <x:c r="N131" s="1"/>
      <x:c r="O131" s="1"/>
      <x:c r="P131" s="1"/>
      <x:c r="Q131" s="6"/>
      <x:c r="R131" s="6"/>
      <x:c r="S131" s="8" t="n">
        <x:f>IF(AND(M131="Confirmado",ISNUMBER(Q131)),Q131,0)</x:f>
        <x:v>0</x:v>
      </x:c>
      <x:c r="T131" s="8" t="n">
        <x:f>IF(AND(M131="Confirmado",ISNUMBER(R131)),R131,0)</x:f>
        <x:v>0</x:v>
      </x:c>
    </x:row>
    <x:row r="132">
      <x:c r="A132" s="1"/>
      <x:c r="B132" s="5"/>
      <x:c r="C132" s="7" t="str">
        <x:f>IF(B132="","",YEAR(B132))</x:f>
      </x:c>
      <x:c r="D132" s="7" t="str">
        <x:f>IF(B132="","",INT((MONTH(B132)-1)/3)+1)</x:f>
      </x:c>
      <x:c r="E132" s="1"/>
      <x:c r="F132" s="1"/>
      <x:c r="G132" s="1"/>
      <x:c r="H132" s="1"/>
      <x:c r="I132" s="6"/>
      <x:c r="J132" s="6"/>
      <x:c r="K132" s="6"/>
      <x:c r="L132" s="8" t="str">
        <x:f>IF(I132="","",I132+J132-K132)</x:f>
      </x:c>
      <x:c r="M132" s="1"/>
      <x:c r="N132" s="1"/>
      <x:c r="O132" s="1"/>
      <x:c r="P132" s="1"/>
      <x:c r="Q132" s="6"/>
      <x:c r="R132" s="6"/>
      <x:c r="S132" s="8" t="n">
        <x:f>IF(AND(M132="Confirmado",ISNUMBER(Q132)),Q132,0)</x:f>
        <x:v>0</x:v>
      </x:c>
      <x:c r="T132" s="8" t="n">
        <x:f>IF(AND(M132="Confirmado",ISNUMBER(R132)),R132,0)</x:f>
        <x:v>0</x:v>
      </x:c>
    </x:row>
    <x:row r="133">
      <x:c r="A133" s="1"/>
      <x:c r="B133" s="5"/>
      <x:c r="C133" s="7" t="str">
        <x:f>IF(B133="","",YEAR(B133))</x:f>
      </x:c>
      <x:c r="D133" s="7" t="str">
        <x:f>IF(B133="","",INT((MONTH(B133)-1)/3)+1)</x:f>
      </x:c>
      <x:c r="E133" s="1"/>
      <x:c r="F133" s="1"/>
      <x:c r="G133" s="1"/>
      <x:c r="H133" s="1"/>
      <x:c r="I133" s="6"/>
      <x:c r="J133" s="6"/>
      <x:c r="K133" s="6"/>
      <x:c r="L133" s="8" t="str">
        <x:f>IF(I133="","",I133+J133-K133)</x:f>
      </x:c>
      <x:c r="M133" s="1"/>
      <x:c r="N133" s="1"/>
      <x:c r="O133" s="1"/>
      <x:c r="P133" s="1"/>
      <x:c r="Q133" s="6"/>
      <x:c r="R133" s="6"/>
      <x:c r="S133" s="8" t="n">
        <x:f>IF(AND(M133="Confirmado",ISNUMBER(Q133)),Q133,0)</x:f>
        <x:v>0</x:v>
      </x:c>
      <x:c r="T133" s="8" t="n">
        <x:f>IF(AND(M133="Confirmado",ISNUMBER(R133)),R133,0)</x:f>
        <x:v>0</x:v>
      </x:c>
    </x:row>
    <x:row r="134">
      <x:c r="A134" s="1"/>
      <x:c r="B134" s="5"/>
      <x:c r="C134" s="7" t="str">
        <x:f>IF(B134="","",YEAR(B134))</x:f>
      </x:c>
      <x:c r="D134" s="7" t="str">
        <x:f>IF(B134="","",INT((MONTH(B134)-1)/3)+1)</x:f>
      </x:c>
      <x:c r="E134" s="1"/>
      <x:c r="F134" s="1"/>
      <x:c r="G134" s="1"/>
      <x:c r="H134" s="1"/>
      <x:c r="I134" s="6"/>
      <x:c r="J134" s="6"/>
      <x:c r="K134" s="6"/>
      <x:c r="L134" s="8" t="str">
        <x:f>IF(I134="","",I134+J134-K134)</x:f>
      </x:c>
      <x:c r="M134" s="1"/>
      <x:c r="N134" s="1"/>
      <x:c r="O134" s="1"/>
      <x:c r="P134" s="1"/>
      <x:c r="Q134" s="6"/>
      <x:c r="R134" s="6"/>
      <x:c r="S134" s="8" t="n">
        <x:f>IF(AND(M134="Confirmado",ISNUMBER(Q134)),Q134,0)</x:f>
        <x:v>0</x:v>
      </x:c>
      <x:c r="T134" s="8" t="n">
        <x:f>IF(AND(M134="Confirmado",ISNUMBER(R134)),R134,0)</x:f>
        <x:v>0</x:v>
      </x:c>
    </x:row>
    <x:row r="135">
      <x:c r="A135" s="1"/>
      <x:c r="B135" s="5"/>
      <x:c r="C135" s="7" t="str">
        <x:f>IF(B135="","",YEAR(B135))</x:f>
      </x:c>
      <x:c r="D135" s="7" t="str">
        <x:f>IF(B135="","",INT((MONTH(B135)-1)/3)+1)</x:f>
      </x:c>
      <x:c r="E135" s="1"/>
      <x:c r="F135" s="1"/>
      <x:c r="G135" s="1"/>
      <x:c r="H135" s="1"/>
      <x:c r="I135" s="6"/>
      <x:c r="J135" s="6"/>
      <x:c r="K135" s="6"/>
      <x:c r="L135" s="8" t="str">
        <x:f>IF(I135="","",I135+J135-K135)</x:f>
      </x:c>
      <x:c r="M135" s="1"/>
      <x:c r="N135" s="1"/>
      <x:c r="O135" s="1"/>
      <x:c r="P135" s="1"/>
      <x:c r="Q135" s="6"/>
      <x:c r="R135" s="6"/>
      <x:c r="S135" s="8" t="n">
        <x:f>IF(AND(M135="Confirmado",ISNUMBER(Q135)),Q135,0)</x:f>
        <x:v>0</x:v>
      </x:c>
      <x:c r="T135" s="8" t="n">
        <x:f>IF(AND(M135="Confirmado",ISNUMBER(R135)),R135,0)</x:f>
        <x:v>0</x:v>
      </x:c>
    </x:row>
    <x:row r="136">
      <x:c r="A136" s="1"/>
      <x:c r="B136" s="5"/>
      <x:c r="C136" s="7" t="str">
        <x:f>IF(B136="","",YEAR(B136))</x:f>
      </x:c>
      <x:c r="D136" s="7" t="str">
        <x:f>IF(B136="","",INT((MONTH(B136)-1)/3)+1)</x:f>
      </x:c>
      <x:c r="E136" s="1"/>
      <x:c r="F136" s="1"/>
      <x:c r="G136" s="1"/>
      <x:c r="H136" s="1"/>
      <x:c r="I136" s="6"/>
      <x:c r="J136" s="6"/>
      <x:c r="K136" s="6"/>
      <x:c r="L136" s="8" t="str">
        <x:f>IF(I136="","",I136+J136-K136)</x:f>
      </x:c>
      <x:c r="M136" s="1"/>
      <x:c r="N136" s="1"/>
      <x:c r="O136" s="1"/>
      <x:c r="P136" s="1"/>
      <x:c r="Q136" s="6"/>
      <x:c r="R136" s="6"/>
      <x:c r="S136" s="8" t="n">
        <x:f>IF(AND(M136="Confirmado",ISNUMBER(Q136)),Q136,0)</x:f>
        <x:v>0</x:v>
      </x:c>
      <x:c r="T136" s="8" t="n">
        <x:f>IF(AND(M136="Confirmado",ISNUMBER(R136)),R136,0)</x:f>
        <x:v>0</x:v>
      </x:c>
    </x:row>
    <x:row r="137">
      <x:c r="A137" s="1"/>
      <x:c r="B137" s="5"/>
      <x:c r="C137" s="7" t="str">
        <x:f>IF(B137="","",YEAR(B137))</x:f>
      </x:c>
      <x:c r="D137" s="7" t="str">
        <x:f>IF(B137="","",INT((MONTH(B137)-1)/3)+1)</x:f>
      </x:c>
      <x:c r="E137" s="1"/>
      <x:c r="F137" s="1"/>
      <x:c r="G137" s="1"/>
      <x:c r="H137" s="1"/>
      <x:c r="I137" s="6"/>
      <x:c r="J137" s="6"/>
      <x:c r="K137" s="6"/>
      <x:c r="L137" s="8" t="str">
        <x:f>IF(I137="","",I137+J137-K137)</x:f>
      </x:c>
      <x:c r="M137" s="1"/>
      <x:c r="N137" s="1"/>
      <x:c r="O137" s="1"/>
      <x:c r="P137" s="1"/>
      <x:c r="Q137" s="6"/>
      <x:c r="R137" s="6"/>
      <x:c r="S137" s="8" t="n">
        <x:f>IF(AND(M137="Confirmado",ISNUMBER(Q137)),Q137,0)</x:f>
        <x:v>0</x:v>
      </x:c>
      <x:c r="T137" s="8" t="n">
        <x:f>IF(AND(M137="Confirmado",ISNUMBER(R137)),R137,0)</x:f>
        <x:v>0</x:v>
      </x:c>
    </x:row>
    <x:row r="138">
      <x:c r="A138" s="1"/>
      <x:c r="B138" s="5"/>
      <x:c r="C138" s="7" t="str">
        <x:f>IF(B138="","",YEAR(B138))</x:f>
      </x:c>
      <x:c r="D138" s="7" t="str">
        <x:f>IF(B138="","",INT((MONTH(B138)-1)/3)+1)</x:f>
      </x:c>
      <x:c r="E138" s="1"/>
      <x:c r="F138" s="1"/>
      <x:c r="G138" s="1"/>
      <x:c r="H138" s="1"/>
      <x:c r="I138" s="6"/>
      <x:c r="J138" s="6"/>
      <x:c r="K138" s="6"/>
      <x:c r="L138" s="8" t="str">
        <x:f>IF(I138="","",I138+J138-K138)</x:f>
      </x:c>
      <x:c r="M138" s="1"/>
      <x:c r="N138" s="1"/>
      <x:c r="O138" s="1"/>
      <x:c r="P138" s="1"/>
      <x:c r="Q138" s="6"/>
      <x:c r="R138" s="6"/>
      <x:c r="S138" s="8" t="n">
        <x:f>IF(AND(M138="Confirmado",ISNUMBER(Q138)),Q138,0)</x:f>
        <x:v>0</x:v>
      </x:c>
      <x:c r="T138" s="8" t="n">
        <x:f>IF(AND(M138="Confirmado",ISNUMBER(R138)),R138,0)</x:f>
        <x:v>0</x:v>
      </x:c>
    </x:row>
    <x:row r="139">
      <x:c r="A139" s="1"/>
      <x:c r="B139" s="5"/>
      <x:c r="C139" s="7" t="str">
        <x:f>IF(B139="","",YEAR(B139))</x:f>
      </x:c>
      <x:c r="D139" s="7" t="str">
        <x:f>IF(B139="","",INT((MONTH(B139)-1)/3)+1)</x:f>
      </x:c>
      <x:c r="E139" s="1"/>
      <x:c r="F139" s="1"/>
      <x:c r="G139" s="1"/>
      <x:c r="H139" s="1"/>
      <x:c r="I139" s="6"/>
      <x:c r="J139" s="6"/>
      <x:c r="K139" s="6"/>
      <x:c r="L139" s="8" t="str">
        <x:f>IF(I139="","",I139+J139-K139)</x:f>
      </x:c>
      <x:c r="M139" s="1"/>
      <x:c r="N139" s="1"/>
      <x:c r="O139" s="1"/>
      <x:c r="P139" s="1"/>
      <x:c r="Q139" s="6"/>
      <x:c r="R139" s="6"/>
      <x:c r="S139" s="8" t="n">
        <x:f>IF(AND(M139="Confirmado",ISNUMBER(Q139)),Q139,0)</x:f>
        <x:v>0</x:v>
      </x:c>
      <x:c r="T139" s="8" t="n">
        <x:f>IF(AND(M139="Confirmado",ISNUMBER(R139)),R139,0)</x:f>
        <x:v>0</x:v>
      </x:c>
    </x:row>
    <x:row r="140">
      <x:c r="A140" s="1"/>
      <x:c r="B140" s="5"/>
      <x:c r="C140" s="7" t="str">
        <x:f>IF(B140="","",YEAR(B140))</x:f>
      </x:c>
      <x:c r="D140" s="7" t="str">
        <x:f>IF(B140="","",INT((MONTH(B140)-1)/3)+1)</x:f>
      </x:c>
      <x:c r="E140" s="1"/>
      <x:c r="F140" s="1"/>
      <x:c r="G140" s="1"/>
      <x:c r="H140" s="1"/>
      <x:c r="I140" s="6"/>
      <x:c r="J140" s="6"/>
      <x:c r="K140" s="6"/>
      <x:c r="L140" s="8" t="str">
        <x:f>IF(I140="","",I140+J140-K140)</x:f>
      </x:c>
      <x:c r="M140" s="1"/>
      <x:c r="N140" s="1"/>
      <x:c r="O140" s="1"/>
      <x:c r="P140" s="1"/>
      <x:c r="Q140" s="6"/>
      <x:c r="R140" s="6"/>
      <x:c r="S140" s="8" t="n">
        <x:f>IF(AND(M140="Confirmado",ISNUMBER(Q140)),Q140,0)</x:f>
        <x:v>0</x:v>
      </x:c>
      <x:c r="T140" s="8" t="n">
        <x:f>IF(AND(M140="Confirmado",ISNUMBER(R140)),R140,0)</x:f>
        <x:v>0</x:v>
      </x:c>
    </x:row>
    <x:row r="141">
      <x:c r="A141" s="1"/>
      <x:c r="B141" s="5"/>
      <x:c r="C141" s="7" t="str">
        <x:f>IF(B141="","",YEAR(B141))</x:f>
      </x:c>
      <x:c r="D141" s="7" t="str">
        <x:f>IF(B141="","",INT((MONTH(B141)-1)/3)+1)</x:f>
      </x:c>
      <x:c r="E141" s="1"/>
      <x:c r="F141" s="1"/>
      <x:c r="G141" s="1"/>
      <x:c r="H141" s="1"/>
      <x:c r="I141" s="6"/>
      <x:c r="J141" s="6"/>
      <x:c r="K141" s="6"/>
      <x:c r="L141" s="8" t="str">
        <x:f>IF(I141="","",I141+J141-K141)</x:f>
      </x:c>
      <x:c r="M141" s="1"/>
      <x:c r="N141" s="1"/>
      <x:c r="O141" s="1"/>
      <x:c r="P141" s="1"/>
      <x:c r="Q141" s="6"/>
      <x:c r="R141" s="6"/>
      <x:c r="S141" s="8" t="n">
        <x:f>IF(AND(M141="Confirmado",ISNUMBER(Q141)),Q141,0)</x:f>
        <x:v>0</x:v>
      </x:c>
      <x:c r="T141" s="8" t="n">
        <x:f>IF(AND(M141="Confirmado",ISNUMBER(R141)),R141,0)</x:f>
        <x:v>0</x:v>
      </x:c>
    </x:row>
    <x:row r="142">
      <x:c r="A142" s="1"/>
      <x:c r="B142" s="5"/>
      <x:c r="C142" s="7" t="str">
        <x:f>IF(B142="","",YEAR(B142))</x:f>
      </x:c>
      <x:c r="D142" s="7" t="str">
        <x:f>IF(B142="","",INT((MONTH(B142)-1)/3)+1)</x:f>
      </x:c>
      <x:c r="E142" s="1"/>
      <x:c r="F142" s="1"/>
      <x:c r="G142" s="1"/>
      <x:c r="H142" s="1"/>
      <x:c r="I142" s="6"/>
      <x:c r="J142" s="6"/>
      <x:c r="K142" s="6"/>
      <x:c r="L142" s="8" t="str">
        <x:f>IF(I142="","",I142+J142-K142)</x:f>
      </x:c>
      <x:c r="M142" s="1"/>
      <x:c r="N142" s="1"/>
      <x:c r="O142" s="1"/>
      <x:c r="P142" s="1"/>
      <x:c r="Q142" s="6"/>
      <x:c r="R142" s="6"/>
      <x:c r="S142" s="8" t="n">
        <x:f>IF(AND(M142="Confirmado",ISNUMBER(Q142)),Q142,0)</x:f>
        <x:v>0</x:v>
      </x:c>
      <x:c r="T142" s="8" t="n">
        <x:f>IF(AND(M142="Confirmado",ISNUMBER(R142)),R142,0)</x:f>
        <x:v>0</x:v>
      </x:c>
    </x:row>
    <x:row r="143">
      <x:c r="A143" s="1"/>
      <x:c r="B143" s="5"/>
      <x:c r="C143" s="7" t="str">
        <x:f>IF(B143="","",YEAR(B143))</x:f>
      </x:c>
      <x:c r="D143" s="7" t="str">
        <x:f>IF(B143="","",INT((MONTH(B143)-1)/3)+1)</x:f>
      </x:c>
      <x:c r="E143" s="1"/>
      <x:c r="F143" s="1"/>
      <x:c r="G143" s="1"/>
      <x:c r="H143" s="1"/>
      <x:c r="I143" s="6"/>
      <x:c r="J143" s="6"/>
      <x:c r="K143" s="6"/>
      <x:c r="L143" s="8" t="str">
        <x:f>IF(I143="","",I143+J143-K143)</x:f>
      </x:c>
      <x:c r="M143" s="1"/>
      <x:c r="N143" s="1"/>
      <x:c r="O143" s="1"/>
      <x:c r="P143" s="1"/>
      <x:c r="Q143" s="6"/>
      <x:c r="R143" s="6"/>
      <x:c r="S143" s="8" t="n">
        <x:f>IF(AND(M143="Confirmado",ISNUMBER(Q143)),Q143,0)</x:f>
        <x:v>0</x:v>
      </x:c>
      <x:c r="T143" s="8" t="n">
        <x:f>IF(AND(M143="Confirmado",ISNUMBER(R143)),R143,0)</x:f>
        <x:v>0</x:v>
      </x:c>
    </x:row>
    <x:row r="144">
      <x:c r="A144" s="1"/>
      <x:c r="B144" s="5"/>
      <x:c r="C144" s="7" t="str">
        <x:f>IF(B144="","",YEAR(B144))</x:f>
      </x:c>
      <x:c r="D144" s="7" t="str">
        <x:f>IF(B144="","",INT((MONTH(B144)-1)/3)+1)</x:f>
      </x:c>
      <x:c r="E144" s="1"/>
      <x:c r="F144" s="1"/>
      <x:c r="G144" s="1"/>
      <x:c r="H144" s="1"/>
      <x:c r="I144" s="6"/>
      <x:c r="J144" s="6"/>
      <x:c r="K144" s="6"/>
      <x:c r="L144" s="8" t="str">
        <x:f>IF(I144="","",I144+J144-K144)</x:f>
      </x:c>
      <x:c r="M144" s="1"/>
      <x:c r="N144" s="1"/>
      <x:c r="O144" s="1"/>
      <x:c r="P144" s="1"/>
      <x:c r="Q144" s="6"/>
      <x:c r="R144" s="6"/>
      <x:c r="S144" s="8" t="n">
        <x:f>IF(AND(M144="Confirmado",ISNUMBER(Q144)),Q144,0)</x:f>
        <x:v>0</x:v>
      </x:c>
      <x:c r="T144" s="8" t="n">
        <x:f>IF(AND(M144="Confirmado",ISNUMBER(R144)),R144,0)</x:f>
        <x:v>0</x:v>
      </x:c>
    </x:row>
    <x:row r="145">
      <x:c r="A145" s="1"/>
      <x:c r="B145" s="5"/>
      <x:c r="C145" s="7" t="str">
        <x:f>IF(B145="","",YEAR(B145))</x:f>
      </x:c>
      <x:c r="D145" s="7" t="str">
        <x:f>IF(B145="","",INT((MONTH(B145)-1)/3)+1)</x:f>
      </x:c>
      <x:c r="E145" s="1"/>
      <x:c r="F145" s="1"/>
      <x:c r="G145" s="1"/>
      <x:c r="H145" s="1"/>
      <x:c r="I145" s="6"/>
      <x:c r="J145" s="6"/>
      <x:c r="K145" s="6"/>
      <x:c r="L145" s="8" t="str">
        <x:f>IF(I145="","",I145+J145-K145)</x:f>
      </x:c>
      <x:c r="M145" s="1"/>
      <x:c r="N145" s="1"/>
      <x:c r="O145" s="1"/>
      <x:c r="P145" s="1"/>
      <x:c r="Q145" s="6"/>
      <x:c r="R145" s="6"/>
      <x:c r="S145" s="8" t="n">
        <x:f>IF(AND(M145="Confirmado",ISNUMBER(Q145)),Q145,0)</x:f>
        <x:v>0</x:v>
      </x:c>
      <x:c r="T145" s="8" t="n">
        <x:f>IF(AND(M145="Confirmado",ISNUMBER(R145)),R145,0)</x:f>
        <x:v>0</x:v>
      </x:c>
    </x:row>
    <x:row r="146">
      <x:c r="A146" s="1"/>
      <x:c r="B146" s="5"/>
      <x:c r="C146" s="7" t="str">
        <x:f>IF(B146="","",YEAR(B146))</x:f>
      </x:c>
      <x:c r="D146" s="7" t="str">
        <x:f>IF(B146="","",INT((MONTH(B146)-1)/3)+1)</x:f>
      </x:c>
      <x:c r="E146" s="1"/>
      <x:c r="F146" s="1"/>
      <x:c r="G146" s="1"/>
      <x:c r="H146" s="1"/>
      <x:c r="I146" s="6"/>
      <x:c r="J146" s="6"/>
      <x:c r="K146" s="6"/>
      <x:c r="L146" s="8" t="str">
        <x:f>IF(I146="","",I146+J146-K146)</x:f>
      </x:c>
      <x:c r="M146" s="1"/>
      <x:c r="N146" s="1"/>
      <x:c r="O146" s="1"/>
      <x:c r="P146" s="1"/>
      <x:c r="Q146" s="6"/>
      <x:c r="R146" s="6"/>
      <x:c r="S146" s="8" t="n">
        <x:f>IF(AND(M146="Confirmado",ISNUMBER(Q146)),Q146,0)</x:f>
        <x:v>0</x:v>
      </x:c>
      <x:c r="T146" s="8" t="n">
        <x:f>IF(AND(M146="Confirmado",ISNUMBER(R146)),R146,0)</x:f>
        <x:v>0</x:v>
      </x:c>
    </x:row>
    <x:row r="147">
      <x:c r="A147" s="1"/>
      <x:c r="B147" s="5"/>
      <x:c r="C147" s="7" t="str">
        <x:f>IF(B147="","",YEAR(B147))</x:f>
      </x:c>
      <x:c r="D147" s="7" t="str">
        <x:f>IF(B147="","",INT((MONTH(B147)-1)/3)+1)</x:f>
      </x:c>
      <x:c r="E147" s="1"/>
      <x:c r="F147" s="1"/>
      <x:c r="G147" s="1"/>
      <x:c r="H147" s="1"/>
      <x:c r="I147" s="6"/>
      <x:c r="J147" s="6"/>
      <x:c r="K147" s="6"/>
      <x:c r="L147" s="8" t="str">
        <x:f>IF(I147="","",I147+J147-K147)</x:f>
      </x:c>
      <x:c r="M147" s="1"/>
      <x:c r="N147" s="1"/>
      <x:c r="O147" s="1"/>
      <x:c r="P147" s="1"/>
      <x:c r="Q147" s="6"/>
      <x:c r="R147" s="6"/>
      <x:c r="S147" s="8" t="n">
        <x:f>IF(AND(M147="Confirmado",ISNUMBER(Q147)),Q147,0)</x:f>
        <x:v>0</x:v>
      </x:c>
      <x:c r="T147" s="8" t="n">
        <x:f>IF(AND(M147="Confirmado",ISNUMBER(R147)),R147,0)</x:f>
        <x:v>0</x:v>
      </x:c>
    </x:row>
    <x:row r="148">
      <x:c r="A148" s="1"/>
      <x:c r="B148" s="5"/>
      <x:c r="C148" s="7" t="str">
        <x:f>IF(B148="","",YEAR(B148))</x:f>
      </x:c>
      <x:c r="D148" s="7" t="str">
        <x:f>IF(B148="","",INT((MONTH(B148)-1)/3)+1)</x:f>
      </x:c>
      <x:c r="E148" s="1"/>
      <x:c r="F148" s="1"/>
      <x:c r="G148" s="1"/>
      <x:c r="H148" s="1"/>
      <x:c r="I148" s="6"/>
      <x:c r="J148" s="6"/>
      <x:c r="K148" s="6"/>
      <x:c r="L148" s="8" t="str">
        <x:f>IF(I148="","",I148+J148-K148)</x:f>
      </x:c>
      <x:c r="M148" s="1"/>
      <x:c r="N148" s="1"/>
      <x:c r="O148" s="1"/>
      <x:c r="P148" s="1"/>
      <x:c r="Q148" s="6"/>
      <x:c r="R148" s="6"/>
      <x:c r="S148" s="8" t="n">
        <x:f>IF(AND(M148="Confirmado",ISNUMBER(Q148)),Q148,0)</x:f>
        <x:v>0</x:v>
      </x:c>
      <x:c r="T148" s="8" t="n">
        <x:f>IF(AND(M148="Confirmado",ISNUMBER(R148)),R148,0)</x:f>
        <x:v>0</x:v>
      </x:c>
    </x:row>
    <x:row r="149">
      <x:c r="A149" s="1"/>
      <x:c r="B149" s="5"/>
      <x:c r="C149" s="7" t="str">
        <x:f>IF(B149="","",YEAR(B149))</x:f>
      </x:c>
      <x:c r="D149" s="7" t="str">
        <x:f>IF(B149="","",INT((MONTH(B149)-1)/3)+1)</x:f>
      </x:c>
      <x:c r="E149" s="1"/>
      <x:c r="F149" s="1"/>
      <x:c r="G149" s="1"/>
      <x:c r="H149" s="1"/>
      <x:c r="I149" s="6"/>
      <x:c r="J149" s="6"/>
      <x:c r="K149" s="6"/>
      <x:c r="L149" s="8" t="str">
        <x:f>IF(I149="","",I149+J149-K149)</x:f>
      </x:c>
      <x:c r="M149" s="1"/>
      <x:c r="N149" s="1"/>
      <x:c r="O149" s="1"/>
      <x:c r="P149" s="1"/>
      <x:c r="Q149" s="6"/>
      <x:c r="R149" s="6"/>
      <x:c r="S149" s="8" t="n">
        <x:f>IF(AND(M149="Confirmado",ISNUMBER(Q149)),Q149,0)</x:f>
        <x:v>0</x:v>
      </x:c>
      <x:c r="T149" s="8" t="n">
        <x:f>IF(AND(M149="Confirmado",ISNUMBER(R149)),R149,0)</x:f>
        <x:v>0</x:v>
      </x:c>
    </x:row>
    <x:row r="150">
      <x:c r="A150" s="1"/>
      <x:c r="B150" s="5"/>
      <x:c r="C150" s="7" t="str">
        <x:f>IF(B150="","",YEAR(B150))</x:f>
      </x:c>
      <x:c r="D150" s="7" t="str">
        <x:f>IF(B150="","",INT((MONTH(B150)-1)/3)+1)</x:f>
      </x:c>
      <x:c r="E150" s="1"/>
      <x:c r="F150" s="1"/>
      <x:c r="G150" s="1"/>
      <x:c r="H150" s="1"/>
      <x:c r="I150" s="6"/>
      <x:c r="J150" s="6"/>
      <x:c r="K150" s="6"/>
      <x:c r="L150" s="8" t="str">
        <x:f>IF(I150="","",I150+J150-K150)</x:f>
      </x:c>
      <x:c r="M150" s="1"/>
      <x:c r="N150" s="1"/>
      <x:c r="O150" s="1"/>
      <x:c r="P150" s="1"/>
      <x:c r="Q150" s="6"/>
      <x:c r="R150" s="6"/>
      <x:c r="S150" s="8" t="n">
        <x:f>IF(AND(M150="Confirmado",ISNUMBER(Q150)),Q150,0)</x:f>
        <x:v>0</x:v>
      </x:c>
      <x:c r="T150" s="8" t="n">
        <x:f>IF(AND(M150="Confirmado",ISNUMBER(R150)),R150,0)</x:f>
        <x:v>0</x:v>
      </x:c>
    </x:row>
    <x:row r="151">
      <x:c r="A151" s="1"/>
      <x:c r="B151" s="5"/>
      <x:c r="C151" s="7" t="str">
        <x:f>IF(B151="","",YEAR(B151))</x:f>
      </x:c>
      <x:c r="D151" s="7" t="str">
        <x:f>IF(B151="","",INT((MONTH(B151)-1)/3)+1)</x:f>
      </x:c>
      <x:c r="E151" s="1"/>
      <x:c r="F151" s="1"/>
      <x:c r="G151" s="1"/>
      <x:c r="H151" s="1"/>
      <x:c r="I151" s="6"/>
      <x:c r="J151" s="6"/>
      <x:c r="K151" s="6"/>
      <x:c r="L151" s="8" t="str">
        <x:f>IF(I151="","",I151+J151-K151)</x:f>
      </x:c>
      <x:c r="M151" s="1"/>
      <x:c r="N151" s="1"/>
      <x:c r="O151" s="1"/>
      <x:c r="P151" s="1"/>
      <x:c r="Q151" s="6"/>
      <x:c r="R151" s="6"/>
      <x:c r="S151" s="8" t="n">
        <x:f>IF(AND(M151="Confirmado",ISNUMBER(Q151)),Q151,0)</x:f>
        <x:v>0</x:v>
      </x:c>
      <x:c r="T151" s="8" t="n">
        <x:f>IF(AND(M151="Confirmado",ISNUMBER(R151)),R151,0)</x:f>
        <x:v>0</x:v>
      </x:c>
    </x:row>
    <x:row r="152">
      <x:c r="A152" s="1"/>
      <x:c r="B152" s="5"/>
      <x:c r="C152" s="7" t="str">
        <x:f>IF(B152="","",YEAR(B152))</x:f>
      </x:c>
      <x:c r="D152" s="7" t="str">
        <x:f>IF(B152="","",INT((MONTH(B152)-1)/3)+1)</x:f>
      </x:c>
      <x:c r="E152" s="1"/>
      <x:c r="F152" s="1"/>
      <x:c r="G152" s="1"/>
      <x:c r="H152" s="1"/>
      <x:c r="I152" s="6"/>
      <x:c r="J152" s="6"/>
      <x:c r="K152" s="6"/>
      <x:c r="L152" s="8" t="str">
        <x:f>IF(I152="","",I152+J152-K152)</x:f>
      </x:c>
      <x:c r="M152" s="1"/>
      <x:c r="N152" s="1"/>
      <x:c r="O152" s="1"/>
      <x:c r="P152" s="1"/>
      <x:c r="Q152" s="6"/>
      <x:c r="R152" s="6"/>
      <x:c r="S152" s="8" t="n">
        <x:f>IF(AND(M152="Confirmado",ISNUMBER(Q152)),Q152,0)</x:f>
        <x:v>0</x:v>
      </x:c>
      <x:c r="T152" s="8" t="n">
        <x:f>IF(AND(M152="Confirmado",ISNUMBER(R152)),R152,0)</x:f>
        <x:v>0</x:v>
      </x:c>
    </x:row>
    <x:row r="153">
      <x:c r="A153" s="1"/>
      <x:c r="B153" s="5"/>
      <x:c r="C153" s="7" t="str">
        <x:f>IF(B153="","",YEAR(B153))</x:f>
      </x:c>
      <x:c r="D153" s="7" t="str">
        <x:f>IF(B153="","",INT((MONTH(B153)-1)/3)+1)</x:f>
      </x:c>
      <x:c r="E153" s="1"/>
      <x:c r="F153" s="1"/>
      <x:c r="G153" s="1"/>
      <x:c r="H153" s="1"/>
      <x:c r="I153" s="6"/>
      <x:c r="J153" s="6"/>
      <x:c r="K153" s="6"/>
      <x:c r="L153" s="8" t="str">
        <x:f>IF(I153="","",I153+J153-K153)</x:f>
      </x:c>
      <x:c r="M153" s="1"/>
      <x:c r="N153" s="1"/>
      <x:c r="O153" s="1"/>
      <x:c r="P153" s="1"/>
      <x:c r="Q153" s="6"/>
      <x:c r="R153" s="6"/>
      <x:c r="S153" s="8" t="n">
        <x:f>IF(AND(M153="Confirmado",ISNUMBER(Q153)),Q153,0)</x:f>
        <x:v>0</x:v>
      </x:c>
      <x:c r="T153" s="8" t="n">
        <x:f>IF(AND(M153="Confirmado",ISNUMBER(R153)),R153,0)</x:f>
        <x:v>0</x:v>
      </x:c>
    </x:row>
    <x:row r="154">
      <x:c r="A154" s="1"/>
      <x:c r="B154" s="5"/>
      <x:c r="C154" s="7" t="str">
        <x:f>IF(B154="","",YEAR(B154))</x:f>
      </x:c>
      <x:c r="D154" s="7" t="str">
        <x:f>IF(B154="","",INT((MONTH(B154)-1)/3)+1)</x:f>
      </x:c>
      <x:c r="E154" s="1"/>
      <x:c r="F154" s="1"/>
      <x:c r="G154" s="1"/>
      <x:c r="H154" s="1"/>
      <x:c r="I154" s="6"/>
      <x:c r="J154" s="6"/>
      <x:c r="K154" s="6"/>
      <x:c r="L154" s="8" t="str">
        <x:f>IF(I154="","",I154+J154-K154)</x:f>
      </x:c>
      <x:c r="M154" s="1"/>
      <x:c r="N154" s="1"/>
      <x:c r="O154" s="1"/>
      <x:c r="P154" s="1"/>
      <x:c r="Q154" s="6"/>
      <x:c r="R154" s="6"/>
      <x:c r="S154" s="8" t="n">
        <x:f>IF(AND(M154="Confirmado",ISNUMBER(Q154)),Q154,0)</x:f>
        <x:v>0</x:v>
      </x:c>
      <x:c r="T154" s="8" t="n">
        <x:f>IF(AND(M154="Confirmado",ISNUMBER(R154)),R154,0)</x:f>
        <x:v>0</x:v>
      </x:c>
    </x:row>
    <x:row r="155">
      <x:c r="A155" s="1"/>
      <x:c r="B155" s="5"/>
      <x:c r="C155" s="7" t="str">
        <x:f>IF(B155="","",YEAR(B155))</x:f>
      </x:c>
      <x:c r="D155" s="7" t="str">
        <x:f>IF(B155="","",INT((MONTH(B155)-1)/3)+1)</x:f>
      </x:c>
      <x:c r="E155" s="1"/>
      <x:c r="F155" s="1"/>
      <x:c r="G155" s="1"/>
      <x:c r="H155" s="1"/>
      <x:c r="I155" s="6"/>
      <x:c r="J155" s="6"/>
      <x:c r="K155" s="6"/>
      <x:c r="L155" s="8" t="str">
        <x:f>IF(I155="","",I155+J155-K155)</x:f>
      </x:c>
      <x:c r="M155" s="1"/>
      <x:c r="N155" s="1"/>
      <x:c r="O155" s="1"/>
      <x:c r="P155" s="1"/>
      <x:c r="Q155" s="6"/>
      <x:c r="R155" s="6"/>
      <x:c r="S155" s="8" t="n">
        <x:f>IF(AND(M155="Confirmado",ISNUMBER(Q155)),Q155,0)</x:f>
        <x:v>0</x:v>
      </x:c>
      <x:c r="T155" s="8" t="n">
        <x:f>IF(AND(M155="Confirmado",ISNUMBER(R155)),R155,0)</x:f>
        <x:v>0</x:v>
      </x:c>
    </x:row>
    <x:row r="156">
      <x:c r="A156" s="1"/>
      <x:c r="B156" s="5"/>
      <x:c r="C156" s="7" t="str">
        <x:f>IF(B156="","",YEAR(B156))</x:f>
      </x:c>
      <x:c r="D156" s="7" t="str">
        <x:f>IF(B156="","",INT((MONTH(B156)-1)/3)+1)</x:f>
      </x:c>
      <x:c r="E156" s="1"/>
      <x:c r="F156" s="1"/>
      <x:c r="G156" s="1"/>
      <x:c r="H156" s="1"/>
      <x:c r="I156" s="6"/>
      <x:c r="J156" s="6"/>
      <x:c r="K156" s="6"/>
      <x:c r="L156" s="8" t="str">
        <x:f>IF(I156="","",I156+J156-K156)</x:f>
      </x:c>
      <x:c r="M156" s="1"/>
      <x:c r="N156" s="1"/>
      <x:c r="O156" s="1"/>
      <x:c r="P156" s="1"/>
      <x:c r="Q156" s="6"/>
      <x:c r="R156" s="6"/>
      <x:c r="S156" s="8" t="n">
        <x:f>IF(AND(M156="Confirmado",ISNUMBER(Q156)),Q156,0)</x:f>
        <x:v>0</x:v>
      </x:c>
      <x:c r="T156" s="8" t="n">
        <x:f>IF(AND(M156="Confirmado",ISNUMBER(R156)),R156,0)</x:f>
        <x:v>0</x:v>
      </x:c>
    </x:row>
    <x:row r="157">
      <x:c r="A157" s="1"/>
      <x:c r="B157" s="5"/>
      <x:c r="C157" s="7" t="str">
        <x:f>IF(B157="","",YEAR(B157))</x:f>
      </x:c>
      <x:c r="D157" s="7" t="str">
        <x:f>IF(B157="","",INT((MONTH(B157)-1)/3)+1)</x:f>
      </x:c>
      <x:c r="E157" s="1"/>
      <x:c r="F157" s="1"/>
      <x:c r="G157" s="1"/>
      <x:c r="H157" s="1"/>
      <x:c r="I157" s="6"/>
      <x:c r="J157" s="6"/>
      <x:c r="K157" s="6"/>
      <x:c r="L157" s="8" t="str">
        <x:f>IF(I157="","",I157+J157-K157)</x:f>
      </x:c>
      <x:c r="M157" s="1"/>
      <x:c r="N157" s="1"/>
      <x:c r="O157" s="1"/>
      <x:c r="P157" s="1"/>
      <x:c r="Q157" s="6"/>
      <x:c r="R157" s="6"/>
      <x:c r="S157" s="8" t="n">
        <x:f>IF(AND(M157="Confirmado",ISNUMBER(Q157)),Q157,0)</x:f>
        <x:v>0</x:v>
      </x:c>
      <x:c r="T157" s="8" t="n">
        <x:f>IF(AND(M157="Confirmado",ISNUMBER(R157)),R157,0)</x:f>
        <x:v>0</x:v>
      </x:c>
    </x:row>
    <x:row r="158">
      <x:c r="A158" s="1"/>
      <x:c r="B158" s="5"/>
      <x:c r="C158" s="7" t="str">
        <x:f>IF(B158="","",YEAR(B158))</x:f>
      </x:c>
      <x:c r="D158" s="7" t="str">
        <x:f>IF(B158="","",INT((MONTH(B158)-1)/3)+1)</x:f>
      </x:c>
      <x:c r="E158" s="1"/>
      <x:c r="F158" s="1"/>
      <x:c r="G158" s="1"/>
      <x:c r="H158" s="1"/>
      <x:c r="I158" s="6"/>
      <x:c r="J158" s="6"/>
      <x:c r="K158" s="6"/>
      <x:c r="L158" s="8" t="str">
        <x:f>IF(I158="","",I158+J158-K158)</x:f>
      </x:c>
      <x:c r="M158" s="1"/>
      <x:c r="N158" s="1"/>
      <x:c r="O158" s="1"/>
      <x:c r="P158" s="1"/>
      <x:c r="Q158" s="6"/>
      <x:c r="R158" s="6"/>
      <x:c r="S158" s="8" t="n">
        <x:f>IF(AND(M158="Confirmado",ISNUMBER(Q158)),Q158,0)</x:f>
        <x:v>0</x:v>
      </x:c>
      <x:c r="T158" s="8" t="n">
        <x:f>IF(AND(M158="Confirmado",ISNUMBER(R158)),R158,0)</x:f>
        <x:v>0</x:v>
      </x:c>
    </x:row>
    <x:row r="159">
      <x:c r="A159" s="1"/>
      <x:c r="B159" s="5"/>
      <x:c r="C159" s="7" t="str">
        <x:f>IF(B159="","",YEAR(B159))</x:f>
      </x:c>
      <x:c r="D159" s="7" t="str">
        <x:f>IF(B159="","",INT((MONTH(B159)-1)/3)+1)</x:f>
      </x:c>
      <x:c r="E159" s="1"/>
      <x:c r="F159" s="1"/>
      <x:c r="G159" s="1"/>
      <x:c r="H159" s="1"/>
      <x:c r="I159" s="6"/>
      <x:c r="J159" s="6"/>
      <x:c r="K159" s="6"/>
      <x:c r="L159" s="8" t="str">
        <x:f>IF(I159="","",I159+J159-K159)</x:f>
      </x:c>
      <x:c r="M159" s="1"/>
      <x:c r="N159" s="1"/>
      <x:c r="O159" s="1"/>
      <x:c r="P159" s="1"/>
      <x:c r="Q159" s="6"/>
      <x:c r="R159" s="6"/>
      <x:c r="S159" s="8" t="n">
        <x:f>IF(AND(M159="Confirmado",ISNUMBER(Q159)),Q159,0)</x:f>
        <x:v>0</x:v>
      </x:c>
      <x:c r="T159" s="8" t="n">
        <x:f>IF(AND(M159="Confirmado",ISNUMBER(R159)),R159,0)</x:f>
        <x:v>0</x:v>
      </x:c>
    </x:row>
    <x:row r="160">
      <x:c r="A160" s="1"/>
      <x:c r="B160" s="5"/>
      <x:c r="C160" s="7" t="str">
        <x:f>IF(B160="","",YEAR(B160))</x:f>
      </x:c>
      <x:c r="D160" s="7" t="str">
        <x:f>IF(B160="","",INT((MONTH(B160)-1)/3)+1)</x:f>
      </x:c>
      <x:c r="E160" s="1"/>
      <x:c r="F160" s="1"/>
      <x:c r="G160" s="1"/>
      <x:c r="H160" s="1"/>
      <x:c r="I160" s="6"/>
      <x:c r="J160" s="6"/>
      <x:c r="K160" s="6"/>
      <x:c r="L160" s="8" t="str">
        <x:f>IF(I160="","",I160+J160-K160)</x:f>
      </x:c>
      <x:c r="M160" s="1"/>
      <x:c r="N160" s="1"/>
      <x:c r="O160" s="1"/>
      <x:c r="P160" s="1"/>
      <x:c r="Q160" s="6"/>
      <x:c r="R160" s="6"/>
      <x:c r="S160" s="8" t="n">
        <x:f>IF(AND(M160="Confirmado",ISNUMBER(Q160)),Q160,0)</x:f>
        <x:v>0</x:v>
      </x:c>
      <x:c r="T160" s="8" t="n">
        <x:f>IF(AND(M160="Confirmado",ISNUMBER(R160)),R160,0)</x:f>
        <x:v>0</x:v>
      </x:c>
    </x:row>
    <x:row r="161">
      <x:c r="A161" s="1"/>
      <x:c r="B161" s="5"/>
      <x:c r="C161" s="7" t="str">
        <x:f>IF(B161="","",YEAR(B161))</x:f>
      </x:c>
      <x:c r="D161" s="7" t="str">
        <x:f>IF(B161="","",INT((MONTH(B161)-1)/3)+1)</x:f>
      </x:c>
      <x:c r="E161" s="1"/>
      <x:c r="F161" s="1"/>
      <x:c r="G161" s="1"/>
      <x:c r="H161" s="1"/>
      <x:c r="I161" s="6"/>
      <x:c r="J161" s="6"/>
      <x:c r="K161" s="6"/>
      <x:c r="L161" s="8" t="str">
        <x:f>IF(I161="","",I161+J161-K161)</x:f>
      </x:c>
      <x:c r="M161" s="1"/>
      <x:c r="N161" s="1"/>
      <x:c r="O161" s="1"/>
      <x:c r="P161" s="1"/>
      <x:c r="Q161" s="6"/>
      <x:c r="R161" s="6"/>
      <x:c r="S161" s="8" t="n">
        <x:f>IF(AND(M161="Confirmado",ISNUMBER(Q161)),Q161,0)</x:f>
        <x:v>0</x:v>
      </x:c>
      <x:c r="T161" s="8" t="n">
        <x:f>IF(AND(M161="Confirmado",ISNUMBER(R161)),R161,0)</x:f>
        <x:v>0</x:v>
      </x:c>
    </x:row>
    <x:row r="162">
      <x:c r="A162" s="1"/>
      <x:c r="B162" s="5"/>
      <x:c r="C162" s="7" t="str">
        <x:f>IF(B162="","",YEAR(B162))</x:f>
      </x:c>
      <x:c r="D162" s="7" t="str">
        <x:f>IF(B162="","",INT((MONTH(B162)-1)/3)+1)</x:f>
      </x:c>
      <x:c r="E162" s="1"/>
      <x:c r="F162" s="1"/>
      <x:c r="G162" s="1"/>
      <x:c r="H162" s="1"/>
      <x:c r="I162" s="6"/>
      <x:c r="J162" s="6"/>
      <x:c r="K162" s="6"/>
      <x:c r="L162" s="8" t="str">
        <x:f>IF(I162="","",I162+J162-K162)</x:f>
      </x:c>
      <x:c r="M162" s="1"/>
      <x:c r="N162" s="1"/>
      <x:c r="O162" s="1"/>
      <x:c r="P162" s="1"/>
      <x:c r="Q162" s="6"/>
      <x:c r="R162" s="6"/>
      <x:c r="S162" s="8" t="n">
        <x:f>IF(AND(M162="Confirmado",ISNUMBER(Q162)),Q162,0)</x:f>
        <x:v>0</x:v>
      </x:c>
      <x:c r="T162" s="8" t="n">
        <x:f>IF(AND(M162="Confirmado",ISNUMBER(R162)),R162,0)</x:f>
        <x:v>0</x:v>
      </x:c>
    </x:row>
    <x:row r="163">
      <x:c r="A163" s="1"/>
      <x:c r="B163" s="5"/>
      <x:c r="C163" s="7" t="str">
        <x:f>IF(B163="","",YEAR(B163))</x:f>
      </x:c>
      <x:c r="D163" s="7" t="str">
        <x:f>IF(B163="","",INT((MONTH(B163)-1)/3)+1)</x:f>
      </x:c>
      <x:c r="E163" s="1"/>
      <x:c r="F163" s="1"/>
      <x:c r="G163" s="1"/>
      <x:c r="H163" s="1"/>
      <x:c r="I163" s="6"/>
      <x:c r="J163" s="6"/>
      <x:c r="K163" s="6"/>
      <x:c r="L163" s="8" t="str">
        <x:f>IF(I163="","",I163+J163-K163)</x:f>
      </x:c>
      <x:c r="M163" s="1"/>
      <x:c r="N163" s="1"/>
      <x:c r="O163" s="1"/>
      <x:c r="P163" s="1"/>
      <x:c r="Q163" s="6"/>
      <x:c r="R163" s="6"/>
      <x:c r="S163" s="8" t="n">
        <x:f>IF(AND(M163="Confirmado",ISNUMBER(Q163)),Q163,0)</x:f>
        <x:v>0</x:v>
      </x:c>
      <x:c r="T163" s="8" t="n">
        <x:f>IF(AND(M163="Confirmado",ISNUMBER(R163)),R163,0)</x:f>
        <x:v>0</x:v>
      </x:c>
    </x:row>
    <x:row r="164">
      <x:c r="A164" s="1"/>
      <x:c r="B164" s="5"/>
      <x:c r="C164" s="7" t="str">
        <x:f>IF(B164="","",YEAR(B164))</x:f>
      </x:c>
      <x:c r="D164" s="7" t="str">
        <x:f>IF(B164="","",INT((MONTH(B164)-1)/3)+1)</x:f>
      </x:c>
      <x:c r="E164" s="1"/>
      <x:c r="F164" s="1"/>
      <x:c r="G164" s="1"/>
      <x:c r="H164" s="1"/>
      <x:c r="I164" s="6"/>
      <x:c r="J164" s="6"/>
      <x:c r="K164" s="6"/>
      <x:c r="L164" s="8" t="str">
        <x:f>IF(I164="","",I164+J164-K164)</x:f>
      </x:c>
      <x:c r="M164" s="1"/>
      <x:c r="N164" s="1"/>
      <x:c r="O164" s="1"/>
      <x:c r="P164" s="1"/>
      <x:c r="Q164" s="6"/>
      <x:c r="R164" s="6"/>
      <x:c r="S164" s="8" t="n">
        <x:f>IF(AND(M164="Confirmado",ISNUMBER(Q164)),Q164,0)</x:f>
        <x:v>0</x:v>
      </x:c>
      <x:c r="T164" s="8" t="n">
        <x:f>IF(AND(M164="Confirmado",ISNUMBER(R164)),R164,0)</x:f>
        <x:v>0</x:v>
      </x:c>
    </x:row>
    <x:row r="165">
      <x:c r="A165" s="1"/>
      <x:c r="B165" s="5"/>
      <x:c r="C165" s="7" t="str">
        <x:f>IF(B165="","",YEAR(B165))</x:f>
      </x:c>
      <x:c r="D165" s="7" t="str">
        <x:f>IF(B165="","",INT((MONTH(B165)-1)/3)+1)</x:f>
      </x:c>
      <x:c r="E165" s="1"/>
      <x:c r="F165" s="1"/>
      <x:c r="G165" s="1"/>
      <x:c r="H165" s="1"/>
      <x:c r="I165" s="6"/>
      <x:c r="J165" s="6"/>
      <x:c r="K165" s="6"/>
      <x:c r="L165" s="8" t="str">
        <x:f>IF(I165="","",I165+J165-K165)</x:f>
      </x:c>
      <x:c r="M165" s="1"/>
      <x:c r="N165" s="1"/>
      <x:c r="O165" s="1"/>
      <x:c r="P165" s="1"/>
      <x:c r="Q165" s="6"/>
      <x:c r="R165" s="6"/>
      <x:c r="S165" s="8" t="n">
        <x:f>IF(AND(M165="Confirmado",ISNUMBER(Q165)),Q165,0)</x:f>
        <x:v>0</x:v>
      </x:c>
      <x:c r="T165" s="8" t="n">
        <x:f>IF(AND(M165="Confirmado",ISNUMBER(R165)),R165,0)</x:f>
        <x:v>0</x:v>
      </x:c>
    </x:row>
    <x:row r="166">
      <x:c r="A166" s="1"/>
      <x:c r="B166" s="5"/>
      <x:c r="C166" s="7" t="str">
        <x:f>IF(B166="","",YEAR(B166))</x:f>
      </x:c>
      <x:c r="D166" s="7" t="str">
        <x:f>IF(B166="","",INT((MONTH(B166)-1)/3)+1)</x:f>
      </x:c>
      <x:c r="E166" s="1"/>
      <x:c r="F166" s="1"/>
      <x:c r="G166" s="1"/>
      <x:c r="H166" s="1"/>
      <x:c r="I166" s="6"/>
      <x:c r="J166" s="6"/>
      <x:c r="K166" s="6"/>
      <x:c r="L166" s="8" t="str">
        <x:f>IF(I166="","",I166+J166-K166)</x:f>
      </x:c>
      <x:c r="M166" s="1"/>
      <x:c r="N166" s="1"/>
      <x:c r="O166" s="1"/>
      <x:c r="P166" s="1"/>
      <x:c r="Q166" s="6"/>
      <x:c r="R166" s="6"/>
      <x:c r="S166" s="8" t="n">
        <x:f>IF(AND(M166="Confirmado",ISNUMBER(Q166)),Q166,0)</x:f>
        <x:v>0</x:v>
      </x:c>
      <x:c r="T166" s="8" t="n">
        <x:f>IF(AND(M166="Confirmado",ISNUMBER(R166)),R166,0)</x:f>
        <x:v>0</x:v>
      </x:c>
    </x:row>
    <x:row r="167">
      <x:c r="A167" s="1"/>
      <x:c r="B167" s="5"/>
      <x:c r="C167" s="7" t="str">
        <x:f>IF(B167="","",YEAR(B167))</x:f>
      </x:c>
      <x:c r="D167" s="7" t="str">
        <x:f>IF(B167="","",INT((MONTH(B167)-1)/3)+1)</x:f>
      </x:c>
      <x:c r="E167" s="1"/>
      <x:c r="F167" s="1"/>
      <x:c r="G167" s="1"/>
      <x:c r="H167" s="1"/>
      <x:c r="I167" s="6"/>
      <x:c r="J167" s="6"/>
      <x:c r="K167" s="6"/>
      <x:c r="L167" s="8" t="str">
        <x:f>IF(I167="","",I167+J167-K167)</x:f>
      </x:c>
      <x:c r="M167" s="1"/>
      <x:c r="N167" s="1"/>
      <x:c r="O167" s="1"/>
      <x:c r="P167" s="1"/>
      <x:c r="Q167" s="6"/>
      <x:c r="R167" s="6"/>
      <x:c r="S167" s="8" t="n">
        <x:f>IF(AND(M167="Confirmado",ISNUMBER(Q167)),Q167,0)</x:f>
        <x:v>0</x:v>
      </x:c>
      <x:c r="T167" s="8" t="n">
        <x:f>IF(AND(M167="Confirmado",ISNUMBER(R167)),R167,0)</x:f>
        <x:v>0</x:v>
      </x:c>
    </x:row>
    <x:row r="168">
      <x:c r="A168" s="1"/>
      <x:c r="B168" s="5"/>
      <x:c r="C168" s="7" t="str">
        <x:f>IF(B168="","",YEAR(B168))</x:f>
      </x:c>
      <x:c r="D168" s="7" t="str">
        <x:f>IF(B168="","",INT((MONTH(B168)-1)/3)+1)</x:f>
      </x:c>
      <x:c r="E168" s="1"/>
      <x:c r="F168" s="1"/>
      <x:c r="G168" s="1"/>
      <x:c r="H168" s="1"/>
      <x:c r="I168" s="6"/>
      <x:c r="J168" s="6"/>
      <x:c r="K168" s="6"/>
      <x:c r="L168" s="8" t="str">
        <x:f>IF(I168="","",I168+J168-K168)</x:f>
      </x:c>
      <x:c r="M168" s="1"/>
      <x:c r="N168" s="1"/>
      <x:c r="O168" s="1"/>
      <x:c r="P168" s="1"/>
      <x:c r="Q168" s="6"/>
      <x:c r="R168" s="6"/>
      <x:c r="S168" s="8" t="n">
        <x:f>IF(AND(M168="Confirmado",ISNUMBER(Q168)),Q168,0)</x:f>
        <x:v>0</x:v>
      </x:c>
      <x:c r="T168" s="8" t="n">
        <x:f>IF(AND(M168="Confirmado",ISNUMBER(R168)),R168,0)</x:f>
        <x:v>0</x:v>
      </x:c>
    </x:row>
    <x:row r="169">
      <x:c r="A169" s="1"/>
      <x:c r="B169" s="5"/>
      <x:c r="C169" s="7" t="str">
        <x:f>IF(B169="","",YEAR(B169))</x:f>
      </x:c>
      <x:c r="D169" s="7" t="str">
        <x:f>IF(B169="","",INT((MONTH(B169)-1)/3)+1)</x:f>
      </x:c>
      <x:c r="E169" s="1"/>
      <x:c r="F169" s="1"/>
      <x:c r="G169" s="1"/>
      <x:c r="H169" s="1"/>
      <x:c r="I169" s="6"/>
      <x:c r="J169" s="6"/>
      <x:c r="K169" s="6"/>
      <x:c r="L169" s="8" t="str">
        <x:f>IF(I169="","",I169+J169-K169)</x:f>
      </x:c>
      <x:c r="M169" s="1"/>
      <x:c r="N169" s="1"/>
      <x:c r="O169" s="1"/>
      <x:c r="P169" s="1"/>
      <x:c r="Q169" s="6"/>
      <x:c r="R169" s="6"/>
      <x:c r="S169" s="8" t="n">
        <x:f>IF(AND(M169="Confirmado",ISNUMBER(Q169)),Q169,0)</x:f>
        <x:v>0</x:v>
      </x:c>
      <x:c r="T169" s="8" t="n">
        <x:f>IF(AND(M169="Confirmado",ISNUMBER(R169)),R169,0)</x:f>
        <x:v>0</x:v>
      </x:c>
    </x:row>
    <x:row r="170">
      <x:c r="A170" s="1"/>
      <x:c r="B170" s="5"/>
      <x:c r="C170" s="7" t="str">
        <x:f>IF(B170="","",YEAR(B170))</x:f>
      </x:c>
      <x:c r="D170" s="7" t="str">
        <x:f>IF(B170="","",INT((MONTH(B170)-1)/3)+1)</x:f>
      </x:c>
      <x:c r="E170" s="1"/>
      <x:c r="F170" s="1"/>
      <x:c r="G170" s="1"/>
      <x:c r="H170" s="1"/>
      <x:c r="I170" s="6"/>
      <x:c r="J170" s="6"/>
      <x:c r="K170" s="6"/>
      <x:c r="L170" s="8" t="str">
        <x:f>IF(I170="","",I170+J170-K170)</x:f>
      </x:c>
      <x:c r="M170" s="1"/>
      <x:c r="N170" s="1"/>
      <x:c r="O170" s="1"/>
      <x:c r="P170" s="1"/>
      <x:c r="Q170" s="6"/>
      <x:c r="R170" s="6"/>
      <x:c r="S170" s="8" t="n">
        <x:f>IF(AND(M170="Confirmado",ISNUMBER(Q170)),Q170,0)</x:f>
        <x:v>0</x:v>
      </x:c>
      <x:c r="T170" s="8" t="n">
        <x:f>IF(AND(M170="Confirmado",ISNUMBER(R170)),R170,0)</x:f>
        <x:v>0</x:v>
      </x:c>
    </x:row>
    <x:row r="171">
      <x:c r="A171" s="1"/>
      <x:c r="B171" s="5"/>
      <x:c r="C171" s="7" t="str">
        <x:f>IF(B171="","",YEAR(B171))</x:f>
      </x:c>
      <x:c r="D171" s="7" t="str">
        <x:f>IF(B171="","",INT((MONTH(B171)-1)/3)+1)</x:f>
      </x:c>
      <x:c r="E171" s="1"/>
      <x:c r="F171" s="1"/>
      <x:c r="G171" s="1"/>
      <x:c r="H171" s="1"/>
      <x:c r="I171" s="6"/>
      <x:c r="J171" s="6"/>
      <x:c r="K171" s="6"/>
      <x:c r="L171" s="8" t="str">
        <x:f>IF(I171="","",I171+J171-K171)</x:f>
      </x:c>
      <x:c r="M171" s="1"/>
      <x:c r="N171" s="1"/>
      <x:c r="O171" s="1"/>
      <x:c r="P171" s="1"/>
      <x:c r="Q171" s="6"/>
      <x:c r="R171" s="6"/>
      <x:c r="S171" s="8" t="n">
        <x:f>IF(AND(M171="Confirmado",ISNUMBER(Q171)),Q171,0)</x:f>
        <x:v>0</x:v>
      </x:c>
      <x:c r="T171" s="8" t="n">
        <x:f>IF(AND(M171="Confirmado",ISNUMBER(R171)),R171,0)</x:f>
        <x:v>0</x:v>
      </x:c>
    </x:row>
    <x:row r="172">
      <x:c r="A172" s="1"/>
      <x:c r="B172" s="5"/>
      <x:c r="C172" s="7" t="str">
        <x:f>IF(B172="","",YEAR(B172))</x:f>
      </x:c>
      <x:c r="D172" s="7" t="str">
        <x:f>IF(B172="","",INT((MONTH(B172)-1)/3)+1)</x:f>
      </x:c>
      <x:c r="E172" s="1"/>
      <x:c r="F172" s="1"/>
      <x:c r="G172" s="1"/>
      <x:c r="H172" s="1"/>
      <x:c r="I172" s="6"/>
      <x:c r="J172" s="6"/>
      <x:c r="K172" s="6"/>
      <x:c r="L172" s="8" t="str">
        <x:f>IF(I172="","",I172+J172-K172)</x:f>
      </x:c>
      <x:c r="M172" s="1"/>
      <x:c r="N172" s="1"/>
      <x:c r="O172" s="1"/>
      <x:c r="P172" s="1"/>
      <x:c r="Q172" s="6"/>
      <x:c r="R172" s="6"/>
      <x:c r="S172" s="8" t="n">
        <x:f>IF(AND(M172="Confirmado",ISNUMBER(Q172)),Q172,0)</x:f>
        <x:v>0</x:v>
      </x:c>
      <x:c r="T172" s="8" t="n">
        <x:f>IF(AND(M172="Confirmado",ISNUMBER(R172)),R172,0)</x:f>
        <x:v>0</x:v>
      </x:c>
    </x:row>
    <x:row r="173">
      <x:c r="A173" s="1"/>
      <x:c r="B173" s="5"/>
      <x:c r="C173" s="7" t="str">
        <x:f>IF(B173="","",YEAR(B173))</x:f>
      </x:c>
      <x:c r="D173" s="7" t="str">
        <x:f>IF(B173="","",INT((MONTH(B173)-1)/3)+1)</x:f>
      </x:c>
      <x:c r="E173" s="1"/>
      <x:c r="F173" s="1"/>
      <x:c r="G173" s="1"/>
      <x:c r="H173" s="1"/>
      <x:c r="I173" s="6"/>
      <x:c r="J173" s="6"/>
      <x:c r="K173" s="6"/>
      <x:c r="L173" s="8" t="str">
        <x:f>IF(I173="","",I173+J173-K173)</x:f>
      </x:c>
      <x:c r="M173" s="1"/>
      <x:c r="N173" s="1"/>
      <x:c r="O173" s="1"/>
      <x:c r="P173" s="1"/>
      <x:c r="Q173" s="6"/>
      <x:c r="R173" s="6"/>
      <x:c r="S173" s="8" t="n">
        <x:f>IF(AND(M173="Confirmado",ISNUMBER(Q173)),Q173,0)</x:f>
        <x:v>0</x:v>
      </x:c>
      <x:c r="T173" s="8" t="n">
        <x:f>IF(AND(M173="Confirmado",ISNUMBER(R173)),R173,0)</x:f>
        <x:v>0</x:v>
      </x:c>
    </x:row>
    <x:row r="174">
      <x:c r="A174" s="1"/>
      <x:c r="B174" s="5"/>
      <x:c r="C174" s="7" t="str">
        <x:f>IF(B174="","",YEAR(B174))</x:f>
      </x:c>
      <x:c r="D174" s="7" t="str">
        <x:f>IF(B174="","",INT((MONTH(B174)-1)/3)+1)</x:f>
      </x:c>
      <x:c r="E174" s="1"/>
      <x:c r="F174" s="1"/>
      <x:c r="G174" s="1"/>
      <x:c r="H174" s="1"/>
      <x:c r="I174" s="6"/>
      <x:c r="J174" s="6"/>
      <x:c r="K174" s="6"/>
      <x:c r="L174" s="8" t="str">
        <x:f>IF(I174="","",I174+J174-K174)</x:f>
      </x:c>
      <x:c r="M174" s="1"/>
      <x:c r="N174" s="1"/>
      <x:c r="O174" s="1"/>
      <x:c r="P174" s="1"/>
      <x:c r="Q174" s="6"/>
      <x:c r="R174" s="6"/>
      <x:c r="S174" s="8" t="n">
        <x:f>IF(AND(M174="Confirmado",ISNUMBER(Q174)),Q174,0)</x:f>
        <x:v>0</x:v>
      </x:c>
      <x:c r="T174" s="8" t="n">
        <x:f>IF(AND(M174="Confirmado",ISNUMBER(R174)),R174,0)</x:f>
        <x:v>0</x:v>
      </x:c>
    </x:row>
    <x:row r="175">
      <x:c r="A175" s="1"/>
      <x:c r="B175" s="5"/>
      <x:c r="C175" s="7" t="str">
        <x:f>IF(B175="","",YEAR(B175))</x:f>
      </x:c>
      <x:c r="D175" s="7" t="str">
        <x:f>IF(B175="","",INT((MONTH(B175)-1)/3)+1)</x:f>
      </x:c>
      <x:c r="E175" s="1"/>
      <x:c r="F175" s="1"/>
      <x:c r="G175" s="1"/>
      <x:c r="H175" s="1"/>
      <x:c r="I175" s="6"/>
      <x:c r="J175" s="6"/>
      <x:c r="K175" s="6"/>
      <x:c r="L175" s="8" t="str">
        <x:f>IF(I175="","",I175+J175-K175)</x:f>
      </x:c>
      <x:c r="M175" s="1"/>
      <x:c r="N175" s="1"/>
      <x:c r="O175" s="1"/>
      <x:c r="P175" s="1"/>
      <x:c r="Q175" s="6"/>
      <x:c r="R175" s="6"/>
      <x:c r="S175" s="8" t="n">
        <x:f>IF(AND(M175="Confirmado",ISNUMBER(Q175)),Q175,0)</x:f>
        <x:v>0</x:v>
      </x:c>
      <x:c r="T175" s="8" t="n">
        <x:f>IF(AND(M175="Confirmado",ISNUMBER(R175)),R175,0)</x:f>
        <x:v>0</x:v>
      </x:c>
    </x:row>
    <x:row r="176">
      <x:c r="A176" s="1"/>
      <x:c r="B176" s="5"/>
      <x:c r="C176" s="7" t="str">
        <x:f>IF(B176="","",YEAR(B176))</x:f>
      </x:c>
      <x:c r="D176" s="7" t="str">
        <x:f>IF(B176="","",INT((MONTH(B176)-1)/3)+1)</x:f>
      </x:c>
      <x:c r="E176" s="1"/>
      <x:c r="F176" s="1"/>
      <x:c r="G176" s="1"/>
      <x:c r="H176" s="1"/>
      <x:c r="I176" s="6"/>
      <x:c r="J176" s="6"/>
      <x:c r="K176" s="6"/>
      <x:c r="L176" s="8" t="str">
        <x:f>IF(I176="","",I176+J176-K176)</x:f>
      </x:c>
      <x:c r="M176" s="1"/>
      <x:c r="N176" s="1"/>
      <x:c r="O176" s="1"/>
      <x:c r="P176" s="1"/>
      <x:c r="Q176" s="6"/>
      <x:c r="R176" s="6"/>
      <x:c r="S176" s="8" t="n">
        <x:f>IF(AND(M176="Confirmado",ISNUMBER(Q176)),Q176,0)</x:f>
        <x:v>0</x:v>
      </x:c>
      <x:c r="T176" s="8" t="n">
        <x:f>IF(AND(M176="Confirmado",ISNUMBER(R176)),R176,0)</x:f>
        <x:v>0</x:v>
      </x:c>
    </x:row>
    <x:row r="177">
      <x:c r="A177" s="1"/>
      <x:c r="B177" s="5"/>
      <x:c r="C177" s="7" t="str">
        <x:f>IF(B177="","",YEAR(B177))</x:f>
      </x:c>
      <x:c r="D177" s="7" t="str">
        <x:f>IF(B177="","",INT((MONTH(B177)-1)/3)+1)</x:f>
      </x:c>
      <x:c r="E177" s="1"/>
      <x:c r="F177" s="1"/>
      <x:c r="G177" s="1"/>
      <x:c r="H177" s="1"/>
      <x:c r="I177" s="6"/>
      <x:c r="J177" s="6"/>
      <x:c r="K177" s="6"/>
      <x:c r="L177" s="8" t="str">
        <x:f>IF(I177="","",I177+J177-K177)</x:f>
      </x:c>
      <x:c r="M177" s="1"/>
      <x:c r="N177" s="1"/>
      <x:c r="O177" s="1"/>
      <x:c r="P177" s="1"/>
      <x:c r="Q177" s="6"/>
      <x:c r="R177" s="6"/>
      <x:c r="S177" s="8" t="n">
        <x:f>IF(AND(M177="Confirmado",ISNUMBER(Q177)),Q177,0)</x:f>
        <x:v>0</x:v>
      </x:c>
      <x:c r="T177" s="8" t="n">
        <x:f>IF(AND(M177="Confirmado",ISNUMBER(R177)),R177,0)</x:f>
        <x:v>0</x:v>
      </x:c>
    </x:row>
    <x:row r="178">
      <x:c r="A178" s="1"/>
      <x:c r="B178" s="5"/>
      <x:c r="C178" s="7" t="str">
        <x:f>IF(B178="","",YEAR(B178))</x:f>
      </x:c>
      <x:c r="D178" s="7" t="str">
        <x:f>IF(B178="","",INT((MONTH(B178)-1)/3)+1)</x:f>
      </x:c>
      <x:c r="E178" s="1"/>
      <x:c r="F178" s="1"/>
      <x:c r="G178" s="1"/>
      <x:c r="H178" s="1"/>
      <x:c r="I178" s="6"/>
      <x:c r="J178" s="6"/>
      <x:c r="K178" s="6"/>
      <x:c r="L178" s="8" t="str">
        <x:f>IF(I178="","",I178+J178-K178)</x:f>
      </x:c>
      <x:c r="M178" s="1"/>
      <x:c r="N178" s="1"/>
      <x:c r="O178" s="1"/>
      <x:c r="P178" s="1"/>
      <x:c r="Q178" s="6"/>
      <x:c r="R178" s="6"/>
      <x:c r="S178" s="8" t="n">
        <x:f>IF(AND(M178="Confirmado",ISNUMBER(Q178)),Q178,0)</x:f>
        <x:v>0</x:v>
      </x:c>
      <x:c r="T178" s="8" t="n">
        <x:f>IF(AND(M178="Confirmado",ISNUMBER(R178)),R178,0)</x:f>
        <x:v>0</x:v>
      </x:c>
    </x:row>
    <x:row r="179">
      <x:c r="A179" s="1"/>
      <x:c r="B179" s="5"/>
      <x:c r="C179" s="7" t="str">
        <x:f>IF(B179="","",YEAR(B179))</x:f>
      </x:c>
      <x:c r="D179" s="7" t="str">
        <x:f>IF(B179="","",INT((MONTH(B179)-1)/3)+1)</x:f>
      </x:c>
      <x:c r="E179" s="1"/>
      <x:c r="F179" s="1"/>
      <x:c r="G179" s="1"/>
      <x:c r="H179" s="1"/>
      <x:c r="I179" s="6"/>
      <x:c r="J179" s="6"/>
      <x:c r="K179" s="6"/>
      <x:c r="L179" s="8" t="str">
        <x:f>IF(I179="","",I179+J179-K179)</x:f>
      </x:c>
      <x:c r="M179" s="1"/>
      <x:c r="N179" s="1"/>
      <x:c r="O179" s="1"/>
      <x:c r="P179" s="1"/>
      <x:c r="Q179" s="6"/>
      <x:c r="R179" s="6"/>
      <x:c r="S179" s="8" t="n">
        <x:f>IF(AND(M179="Confirmado",ISNUMBER(Q179)),Q179,0)</x:f>
        <x:v>0</x:v>
      </x:c>
      <x:c r="T179" s="8" t="n">
        <x:f>IF(AND(M179="Confirmado",ISNUMBER(R179)),R179,0)</x:f>
        <x:v>0</x:v>
      </x:c>
    </x:row>
    <x:row r="180">
      <x:c r="A180" s="1"/>
      <x:c r="B180" s="5"/>
      <x:c r="C180" s="7" t="str">
        <x:f>IF(B180="","",YEAR(B180))</x:f>
      </x:c>
      <x:c r="D180" s="7" t="str">
        <x:f>IF(B180="","",INT((MONTH(B180)-1)/3)+1)</x:f>
      </x:c>
      <x:c r="E180" s="1"/>
      <x:c r="F180" s="1"/>
      <x:c r="G180" s="1"/>
      <x:c r="H180" s="1"/>
      <x:c r="I180" s="6"/>
      <x:c r="J180" s="6"/>
      <x:c r="K180" s="6"/>
      <x:c r="L180" s="8" t="str">
        <x:f>IF(I180="","",I180+J180-K180)</x:f>
      </x:c>
      <x:c r="M180" s="1"/>
      <x:c r="N180" s="1"/>
      <x:c r="O180" s="1"/>
      <x:c r="P180" s="1"/>
      <x:c r="Q180" s="6"/>
      <x:c r="R180" s="6"/>
      <x:c r="S180" s="8" t="n">
        <x:f>IF(AND(M180="Confirmado",ISNUMBER(Q180)),Q180,0)</x:f>
        <x:v>0</x:v>
      </x:c>
      <x:c r="T180" s="8" t="n">
        <x:f>IF(AND(M180="Confirmado",ISNUMBER(R180)),R180,0)</x:f>
        <x:v>0</x:v>
      </x:c>
    </x:row>
    <x:row r="181">
      <x:c r="A181" s="1"/>
      <x:c r="B181" s="5"/>
      <x:c r="C181" s="7" t="str">
        <x:f>IF(B181="","",YEAR(B181))</x:f>
      </x:c>
      <x:c r="D181" s="7" t="str">
        <x:f>IF(B181="","",INT((MONTH(B181)-1)/3)+1)</x:f>
      </x:c>
      <x:c r="E181" s="1"/>
      <x:c r="F181" s="1"/>
      <x:c r="G181" s="1"/>
      <x:c r="H181" s="1"/>
      <x:c r="I181" s="6"/>
      <x:c r="J181" s="6"/>
      <x:c r="K181" s="6"/>
      <x:c r="L181" s="8" t="str">
        <x:f>IF(I181="","",I181+J181-K181)</x:f>
      </x:c>
      <x:c r="M181" s="1"/>
      <x:c r="N181" s="1"/>
      <x:c r="O181" s="1"/>
      <x:c r="P181" s="1"/>
      <x:c r="Q181" s="6"/>
      <x:c r="R181" s="6"/>
      <x:c r="S181" s="8" t="n">
        <x:f>IF(AND(M181="Confirmado",ISNUMBER(Q181)),Q181,0)</x:f>
        <x:v>0</x:v>
      </x:c>
      <x:c r="T181" s="8" t="n">
        <x:f>IF(AND(M181="Confirmado",ISNUMBER(R181)),R181,0)</x:f>
        <x:v>0</x:v>
      </x:c>
    </x:row>
    <x:row r="182">
      <x:c r="A182" s="1"/>
      <x:c r="B182" s="5"/>
      <x:c r="C182" s="7" t="str">
        <x:f>IF(B182="","",YEAR(B182))</x:f>
      </x:c>
      <x:c r="D182" s="7" t="str">
        <x:f>IF(B182="","",INT((MONTH(B182)-1)/3)+1)</x:f>
      </x:c>
      <x:c r="E182" s="1"/>
      <x:c r="F182" s="1"/>
      <x:c r="G182" s="1"/>
      <x:c r="H182" s="1"/>
      <x:c r="I182" s="6"/>
      <x:c r="J182" s="6"/>
      <x:c r="K182" s="6"/>
      <x:c r="L182" s="8" t="str">
        <x:f>IF(I182="","",I182+J182-K182)</x:f>
      </x:c>
      <x:c r="M182" s="1"/>
      <x:c r="N182" s="1"/>
      <x:c r="O182" s="1"/>
      <x:c r="P182" s="1"/>
      <x:c r="Q182" s="6"/>
      <x:c r="R182" s="6"/>
      <x:c r="S182" s="8" t="n">
        <x:f>IF(AND(M182="Confirmado",ISNUMBER(Q182)),Q182,0)</x:f>
        <x:v>0</x:v>
      </x:c>
      <x:c r="T182" s="8" t="n">
        <x:f>IF(AND(M182="Confirmado",ISNUMBER(R182)),R182,0)</x:f>
        <x:v>0</x:v>
      </x:c>
    </x:row>
    <x:row r="183">
      <x:c r="A183" s="1"/>
      <x:c r="B183" s="5"/>
      <x:c r="C183" s="7" t="str">
        <x:f>IF(B183="","",YEAR(B183))</x:f>
      </x:c>
      <x:c r="D183" s="7" t="str">
        <x:f>IF(B183="","",INT((MONTH(B183)-1)/3)+1)</x:f>
      </x:c>
      <x:c r="E183" s="1"/>
      <x:c r="F183" s="1"/>
      <x:c r="G183" s="1"/>
      <x:c r="H183" s="1"/>
      <x:c r="I183" s="6"/>
      <x:c r="J183" s="6"/>
      <x:c r="K183" s="6"/>
      <x:c r="L183" s="8" t="str">
        <x:f>IF(I183="","",I183+J183-K183)</x:f>
      </x:c>
      <x:c r="M183" s="1"/>
      <x:c r="N183" s="1"/>
      <x:c r="O183" s="1"/>
      <x:c r="P183" s="1"/>
      <x:c r="Q183" s="6"/>
      <x:c r="R183" s="6"/>
      <x:c r="S183" s="8" t="n">
        <x:f>IF(AND(M183="Confirmado",ISNUMBER(Q183)),Q183,0)</x:f>
        <x:v>0</x:v>
      </x:c>
      <x:c r="T183" s="8" t="n">
        <x:f>IF(AND(M183="Confirmado",ISNUMBER(R183)),R183,0)</x:f>
        <x:v>0</x:v>
      </x:c>
    </x:row>
    <x:row r="184">
      <x:c r="A184" s="1"/>
      <x:c r="B184" s="5"/>
      <x:c r="C184" s="7" t="str">
        <x:f>IF(B184="","",YEAR(B184))</x:f>
      </x:c>
      <x:c r="D184" s="7" t="str">
        <x:f>IF(B184="","",INT((MONTH(B184)-1)/3)+1)</x:f>
      </x:c>
      <x:c r="E184" s="1"/>
      <x:c r="F184" s="1"/>
      <x:c r="G184" s="1"/>
      <x:c r="H184" s="1"/>
      <x:c r="I184" s="6"/>
      <x:c r="J184" s="6"/>
      <x:c r="K184" s="6"/>
      <x:c r="L184" s="8" t="str">
        <x:f>IF(I184="","",I184+J184-K184)</x:f>
      </x:c>
      <x:c r="M184" s="1"/>
      <x:c r="N184" s="1"/>
      <x:c r="O184" s="1"/>
      <x:c r="P184" s="1"/>
      <x:c r="Q184" s="6"/>
      <x:c r="R184" s="6"/>
      <x:c r="S184" s="8" t="n">
        <x:f>IF(AND(M184="Confirmado",ISNUMBER(Q184)),Q184,0)</x:f>
        <x:v>0</x:v>
      </x:c>
      <x:c r="T184" s="8" t="n">
        <x:f>IF(AND(M184="Confirmado",ISNUMBER(R184)),R184,0)</x:f>
        <x:v>0</x:v>
      </x:c>
    </x:row>
    <x:row r="185">
      <x:c r="A185" s="1"/>
      <x:c r="B185" s="5"/>
      <x:c r="C185" s="7" t="str">
        <x:f>IF(B185="","",YEAR(B185))</x:f>
      </x:c>
      <x:c r="D185" s="7" t="str">
        <x:f>IF(B185="","",INT((MONTH(B185)-1)/3)+1)</x:f>
      </x:c>
      <x:c r="E185" s="1"/>
      <x:c r="F185" s="1"/>
      <x:c r="G185" s="1"/>
      <x:c r="H185" s="1"/>
      <x:c r="I185" s="6"/>
      <x:c r="J185" s="6"/>
      <x:c r="K185" s="6"/>
      <x:c r="L185" s="8" t="str">
        <x:f>IF(I185="","",I185+J185-K185)</x:f>
      </x:c>
      <x:c r="M185" s="1"/>
      <x:c r="N185" s="1"/>
      <x:c r="O185" s="1"/>
      <x:c r="P185" s="1"/>
      <x:c r="Q185" s="6"/>
      <x:c r="R185" s="6"/>
      <x:c r="S185" s="8" t="n">
        <x:f>IF(AND(M185="Confirmado",ISNUMBER(Q185)),Q185,0)</x:f>
        <x:v>0</x:v>
      </x:c>
      <x:c r="T185" s="8" t="n">
        <x:f>IF(AND(M185="Confirmado",ISNUMBER(R185)),R185,0)</x:f>
        <x:v>0</x:v>
      </x:c>
    </x:row>
    <x:row r="186">
      <x:c r="A186" s="1"/>
      <x:c r="B186" s="5"/>
      <x:c r="C186" s="7" t="str">
        <x:f>IF(B186="","",YEAR(B186))</x:f>
      </x:c>
      <x:c r="D186" s="7" t="str">
        <x:f>IF(B186="","",INT((MONTH(B186)-1)/3)+1)</x:f>
      </x:c>
      <x:c r="E186" s="1"/>
      <x:c r="F186" s="1"/>
      <x:c r="G186" s="1"/>
      <x:c r="H186" s="1"/>
      <x:c r="I186" s="6"/>
      <x:c r="J186" s="6"/>
      <x:c r="K186" s="6"/>
      <x:c r="L186" s="8" t="str">
        <x:f>IF(I186="","",I186+J186-K186)</x:f>
      </x:c>
      <x:c r="M186" s="1"/>
      <x:c r="N186" s="1"/>
      <x:c r="O186" s="1"/>
      <x:c r="P186" s="1"/>
      <x:c r="Q186" s="6"/>
      <x:c r="R186" s="6"/>
      <x:c r="S186" s="8" t="n">
        <x:f>IF(AND(M186="Confirmado",ISNUMBER(Q186)),Q186,0)</x:f>
        <x:v>0</x:v>
      </x:c>
      <x:c r="T186" s="8" t="n">
        <x:f>IF(AND(M186="Confirmado",ISNUMBER(R186)),R186,0)</x:f>
        <x:v>0</x:v>
      </x:c>
    </x:row>
    <x:row r="187">
      <x:c r="A187" s="1"/>
      <x:c r="B187" s="5"/>
      <x:c r="C187" s="7" t="str">
        <x:f>IF(B187="","",YEAR(B187))</x:f>
      </x:c>
      <x:c r="D187" s="7" t="str">
        <x:f>IF(B187="","",INT((MONTH(B187)-1)/3)+1)</x:f>
      </x:c>
      <x:c r="E187" s="1"/>
      <x:c r="F187" s="1"/>
      <x:c r="G187" s="1"/>
      <x:c r="H187" s="1"/>
      <x:c r="I187" s="6"/>
      <x:c r="J187" s="6"/>
      <x:c r="K187" s="6"/>
      <x:c r="L187" s="8" t="str">
        <x:f>IF(I187="","",I187+J187-K187)</x:f>
      </x:c>
      <x:c r="M187" s="1"/>
      <x:c r="N187" s="1"/>
      <x:c r="O187" s="1"/>
      <x:c r="P187" s="1"/>
      <x:c r="Q187" s="6"/>
      <x:c r="R187" s="6"/>
      <x:c r="S187" s="8" t="n">
        <x:f>IF(AND(M187="Confirmado",ISNUMBER(Q187)),Q187,0)</x:f>
        <x:v>0</x:v>
      </x:c>
      <x:c r="T187" s="8" t="n">
        <x:f>IF(AND(M187="Confirmado",ISNUMBER(R187)),R187,0)</x:f>
        <x:v>0</x:v>
      </x:c>
    </x:row>
    <x:row r="188">
      <x:c r="A188" s="1"/>
      <x:c r="B188" s="5"/>
      <x:c r="C188" s="7" t="str">
        <x:f>IF(B188="","",YEAR(B188))</x:f>
      </x:c>
      <x:c r="D188" s="7" t="str">
        <x:f>IF(B188="","",INT((MONTH(B188)-1)/3)+1)</x:f>
      </x:c>
      <x:c r="E188" s="1"/>
      <x:c r="F188" s="1"/>
      <x:c r="G188" s="1"/>
      <x:c r="H188" s="1"/>
      <x:c r="I188" s="6"/>
      <x:c r="J188" s="6"/>
      <x:c r="K188" s="6"/>
      <x:c r="L188" s="8" t="str">
        <x:f>IF(I188="","",I188+J188-K188)</x:f>
      </x:c>
      <x:c r="M188" s="1"/>
      <x:c r="N188" s="1"/>
      <x:c r="O188" s="1"/>
      <x:c r="P188" s="1"/>
      <x:c r="Q188" s="6"/>
      <x:c r="R188" s="6"/>
      <x:c r="S188" s="8" t="n">
        <x:f>IF(AND(M188="Confirmado",ISNUMBER(Q188)),Q188,0)</x:f>
        <x:v>0</x:v>
      </x:c>
      <x:c r="T188" s="8" t="n">
        <x:f>IF(AND(M188="Confirmado",ISNUMBER(R188)),R188,0)</x:f>
        <x:v>0</x:v>
      </x:c>
    </x:row>
    <x:row r="189">
      <x:c r="A189" s="1"/>
      <x:c r="B189" s="5"/>
      <x:c r="C189" s="7" t="str">
        <x:f>IF(B189="","",YEAR(B189))</x:f>
      </x:c>
      <x:c r="D189" s="7" t="str">
        <x:f>IF(B189="","",INT((MONTH(B189)-1)/3)+1)</x:f>
      </x:c>
      <x:c r="E189" s="1"/>
      <x:c r="F189" s="1"/>
      <x:c r="G189" s="1"/>
      <x:c r="H189" s="1"/>
      <x:c r="I189" s="6"/>
      <x:c r="J189" s="6"/>
      <x:c r="K189" s="6"/>
      <x:c r="L189" s="8" t="str">
        <x:f>IF(I189="","",I189+J189-K189)</x:f>
      </x:c>
      <x:c r="M189" s="1"/>
      <x:c r="N189" s="1"/>
      <x:c r="O189" s="1"/>
      <x:c r="P189" s="1"/>
      <x:c r="Q189" s="6"/>
      <x:c r="R189" s="6"/>
      <x:c r="S189" s="8" t="n">
        <x:f>IF(AND(M189="Confirmado",ISNUMBER(Q189)),Q189,0)</x:f>
        <x:v>0</x:v>
      </x:c>
      <x:c r="T189" s="8" t="n">
        <x:f>IF(AND(M189="Confirmado",ISNUMBER(R189)),R189,0)</x:f>
        <x:v>0</x:v>
      </x:c>
    </x:row>
    <x:row r="190">
      <x:c r="A190" s="1"/>
      <x:c r="B190" s="5"/>
      <x:c r="C190" s="7" t="str">
        <x:f>IF(B190="","",YEAR(B190))</x:f>
      </x:c>
      <x:c r="D190" s="7" t="str">
        <x:f>IF(B190="","",INT((MONTH(B190)-1)/3)+1)</x:f>
      </x:c>
      <x:c r="E190" s="1"/>
      <x:c r="F190" s="1"/>
      <x:c r="G190" s="1"/>
      <x:c r="H190" s="1"/>
      <x:c r="I190" s="6"/>
      <x:c r="J190" s="6"/>
      <x:c r="K190" s="6"/>
      <x:c r="L190" s="8" t="str">
        <x:f>IF(I190="","",I190+J190-K190)</x:f>
      </x:c>
      <x:c r="M190" s="1"/>
      <x:c r="N190" s="1"/>
      <x:c r="O190" s="1"/>
      <x:c r="P190" s="1"/>
      <x:c r="Q190" s="6"/>
      <x:c r="R190" s="6"/>
      <x:c r="S190" s="8" t="n">
        <x:f>IF(AND(M190="Confirmado",ISNUMBER(Q190)),Q190,0)</x:f>
        <x:v>0</x:v>
      </x:c>
      <x:c r="T190" s="8" t="n">
        <x:f>IF(AND(M190="Confirmado",ISNUMBER(R190)),R190,0)</x:f>
        <x:v>0</x:v>
      </x:c>
    </x:row>
    <x:row r="191">
      <x:c r="A191" s="1"/>
      <x:c r="B191" s="5"/>
      <x:c r="C191" s="7" t="str">
        <x:f>IF(B191="","",YEAR(B191))</x:f>
      </x:c>
      <x:c r="D191" s="7" t="str">
        <x:f>IF(B191="","",INT((MONTH(B191)-1)/3)+1)</x:f>
      </x:c>
      <x:c r="E191" s="1"/>
      <x:c r="F191" s="1"/>
      <x:c r="G191" s="1"/>
      <x:c r="H191" s="1"/>
      <x:c r="I191" s="6"/>
      <x:c r="J191" s="6"/>
      <x:c r="K191" s="6"/>
      <x:c r="L191" s="8" t="str">
        <x:f>IF(I191="","",I191+J191-K191)</x:f>
      </x:c>
      <x:c r="M191" s="1"/>
      <x:c r="N191" s="1"/>
      <x:c r="O191" s="1"/>
      <x:c r="P191" s="1"/>
      <x:c r="Q191" s="6"/>
      <x:c r="R191" s="6"/>
      <x:c r="S191" s="8" t="n">
        <x:f>IF(AND(M191="Confirmado",ISNUMBER(Q191)),Q191,0)</x:f>
        <x:v>0</x:v>
      </x:c>
      <x:c r="T191" s="8" t="n">
        <x:f>IF(AND(M191="Confirmado",ISNUMBER(R191)),R191,0)</x:f>
        <x:v>0</x:v>
      </x:c>
    </x:row>
    <x:row r="192">
      <x:c r="A192" s="1"/>
      <x:c r="B192" s="5"/>
      <x:c r="C192" s="7" t="str">
        <x:f>IF(B192="","",YEAR(B192))</x:f>
      </x:c>
      <x:c r="D192" s="7" t="str">
        <x:f>IF(B192="","",INT((MONTH(B192)-1)/3)+1)</x:f>
      </x:c>
      <x:c r="E192" s="1"/>
      <x:c r="F192" s="1"/>
      <x:c r="G192" s="1"/>
      <x:c r="H192" s="1"/>
      <x:c r="I192" s="6"/>
      <x:c r="J192" s="6"/>
      <x:c r="K192" s="6"/>
      <x:c r="L192" s="8" t="str">
        <x:f>IF(I192="","",I192+J192-K192)</x:f>
      </x:c>
      <x:c r="M192" s="1"/>
      <x:c r="N192" s="1"/>
      <x:c r="O192" s="1"/>
      <x:c r="P192" s="1"/>
      <x:c r="Q192" s="6"/>
      <x:c r="R192" s="6"/>
      <x:c r="S192" s="8" t="n">
        <x:f>IF(AND(M192="Confirmado",ISNUMBER(Q192)),Q192,0)</x:f>
        <x:v>0</x:v>
      </x:c>
      <x:c r="T192" s="8" t="n">
        <x:f>IF(AND(M192="Confirmado",ISNUMBER(R192)),R192,0)</x:f>
        <x:v>0</x:v>
      </x:c>
    </x:row>
    <x:row r="193">
      <x:c r="A193" s="1"/>
      <x:c r="B193" s="5"/>
      <x:c r="C193" s="7" t="str">
        <x:f>IF(B193="","",YEAR(B193))</x:f>
      </x:c>
      <x:c r="D193" s="7" t="str">
        <x:f>IF(B193="","",INT((MONTH(B193)-1)/3)+1)</x:f>
      </x:c>
      <x:c r="E193" s="1"/>
      <x:c r="F193" s="1"/>
      <x:c r="G193" s="1"/>
      <x:c r="H193" s="1"/>
      <x:c r="I193" s="6"/>
      <x:c r="J193" s="6"/>
      <x:c r="K193" s="6"/>
      <x:c r="L193" s="8" t="str">
        <x:f>IF(I193="","",I193+J193-K193)</x:f>
      </x:c>
      <x:c r="M193" s="1"/>
      <x:c r="N193" s="1"/>
      <x:c r="O193" s="1"/>
      <x:c r="P193" s="1"/>
      <x:c r="Q193" s="6"/>
      <x:c r="R193" s="6"/>
      <x:c r="S193" s="8" t="n">
        <x:f>IF(AND(M193="Confirmado",ISNUMBER(Q193)),Q193,0)</x:f>
        <x:v>0</x:v>
      </x:c>
      <x:c r="T193" s="8" t="n">
        <x:f>IF(AND(M193="Confirmado",ISNUMBER(R193)),R193,0)</x:f>
        <x:v>0</x:v>
      </x:c>
    </x:row>
    <x:row r="194">
      <x:c r="A194" s="1"/>
      <x:c r="B194" s="5"/>
      <x:c r="C194" s="7" t="str">
        <x:f>IF(B194="","",YEAR(B194))</x:f>
      </x:c>
      <x:c r="D194" s="7" t="str">
        <x:f>IF(B194="","",INT((MONTH(B194)-1)/3)+1)</x:f>
      </x:c>
      <x:c r="E194" s="1"/>
      <x:c r="F194" s="1"/>
      <x:c r="G194" s="1"/>
      <x:c r="H194" s="1"/>
      <x:c r="I194" s="6"/>
      <x:c r="J194" s="6"/>
      <x:c r="K194" s="6"/>
      <x:c r="L194" s="8" t="str">
        <x:f>IF(I194="","",I194+J194-K194)</x:f>
      </x:c>
      <x:c r="M194" s="1"/>
      <x:c r="N194" s="1"/>
      <x:c r="O194" s="1"/>
      <x:c r="P194" s="1"/>
      <x:c r="Q194" s="6"/>
      <x:c r="R194" s="6"/>
      <x:c r="S194" s="8" t="n">
        <x:f>IF(AND(M194="Confirmado",ISNUMBER(Q194)),Q194,0)</x:f>
        <x:v>0</x:v>
      </x:c>
      <x:c r="T194" s="8" t="n">
        <x:f>IF(AND(M194="Confirmado",ISNUMBER(R194)),R194,0)</x:f>
        <x:v>0</x:v>
      </x:c>
    </x:row>
    <x:row r="195">
      <x:c r="A195" s="1"/>
      <x:c r="B195" s="5"/>
      <x:c r="C195" s="7" t="str">
        <x:f>IF(B195="","",YEAR(B195))</x:f>
      </x:c>
      <x:c r="D195" s="7" t="str">
        <x:f>IF(B195="","",INT((MONTH(B195)-1)/3)+1)</x:f>
      </x:c>
      <x:c r="E195" s="1"/>
      <x:c r="F195" s="1"/>
      <x:c r="G195" s="1"/>
      <x:c r="H195" s="1"/>
      <x:c r="I195" s="6"/>
      <x:c r="J195" s="6"/>
      <x:c r="K195" s="6"/>
      <x:c r="L195" s="8" t="str">
        <x:f>IF(I195="","",I195+J195-K195)</x:f>
      </x:c>
      <x:c r="M195" s="1"/>
      <x:c r="N195" s="1"/>
      <x:c r="O195" s="1"/>
      <x:c r="P195" s="1"/>
      <x:c r="Q195" s="6"/>
      <x:c r="R195" s="6"/>
      <x:c r="S195" s="8" t="n">
        <x:f>IF(AND(M195="Confirmado",ISNUMBER(Q195)),Q195,0)</x:f>
        <x:v>0</x:v>
      </x:c>
      <x:c r="T195" s="8" t="n">
        <x:f>IF(AND(M195="Confirmado",ISNUMBER(R195)),R195,0)</x:f>
        <x:v>0</x:v>
      </x:c>
    </x:row>
    <x:row r="196">
      <x:c r="A196" s="1"/>
      <x:c r="B196" s="5"/>
      <x:c r="C196" s="7" t="str">
        <x:f>IF(B196="","",YEAR(B196))</x:f>
      </x:c>
      <x:c r="D196" s="7" t="str">
        <x:f>IF(B196="","",INT((MONTH(B196)-1)/3)+1)</x:f>
      </x:c>
      <x:c r="E196" s="1"/>
      <x:c r="F196" s="1"/>
      <x:c r="G196" s="1"/>
      <x:c r="H196" s="1"/>
      <x:c r="I196" s="6"/>
      <x:c r="J196" s="6"/>
      <x:c r="K196" s="6"/>
      <x:c r="L196" s="8" t="str">
        <x:f>IF(I196="","",I196+J196-K196)</x:f>
      </x:c>
      <x:c r="M196" s="1"/>
      <x:c r="N196" s="1"/>
      <x:c r="O196" s="1"/>
      <x:c r="P196" s="1"/>
      <x:c r="Q196" s="6"/>
      <x:c r="R196" s="6"/>
      <x:c r="S196" s="8" t="n">
        <x:f>IF(AND(M196="Confirmado",ISNUMBER(Q196)),Q196,0)</x:f>
        <x:v>0</x:v>
      </x:c>
      <x:c r="T196" s="8" t="n">
        <x:f>IF(AND(M196="Confirmado",ISNUMBER(R196)),R196,0)</x:f>
        <x:v>0</x:v>
      </x:c>
    </x:row>
    <x:row r="197">
      <x:c r="A197" s="1"/>
      <x:c r="B197" s="5"/>
      <x:c r="C197" s="7" t="str">
        <x:f>IF(B197="","",YEAR(B197))</x:f>
      </x:c>
      <x:c r="D197" s="7" t="str">
        <x:f>IF(B197="","",INT((MONTH(B197)-1)/3)+1)</x:f>
      </x:c>
      <x:c r="E197" s="1"/>
      <x:c r="F197" s="1"/>
      <x:c r="G197" s="1"/>
      <x:c r="H197" s="1"/>
      <x:c r="I197" s="6"/>
      <x:c r="J197" s="6"/>
      <x:c r="K197" s="6"/>
      <x:c r="L197" s="8" t="str">
        <x:f>IF(I197="","",I197+J197-K197)</x:f>
      </x:c>
      <x:c r="M197" s="1"/>
      <x:c r="N197" s="1"/>
      <x:c r="O197" s="1"/>
      <x:c r="P197" s="1"/>
      <x:c r="Q197" s="6"/>
      <x:c r="R197" s="6"/>
      <x:c r="S197" s="8" t="n">
        <x:f>IF(AND(M197="Confirmado",ISNUMBER(Q197)),Q197,0)</x:f>
        <x:v>0</x:v>
      </x:c>
      <x:c r="T197" s="8" t="n">
        <x:f>IF(AND(M197="Confirmado",ISNUMBER(R197)),R197,0)</x:f>
        <x:v>0</x:v>
      </x:c>
    </x:row>
    <x:row r="198">
      <x:c r="A198" s="1"/>
      <x:c r="B198" s="5"/>
      <x:c r="C198" s="7" t="str">
        <x:f>IF(B198="","",YEAR(B198))</x:f>
      </x:c>
      <x:c r="D198" s="7" t="str">
        <x:f>IF(B198="","",INT((MONTH(B198)-1)/3)+1)</x:f>
      </x:c>
      <x:c r="E198" s="1"/>
      <x:c r="F198" s="1"/>
      <x:c r="G198" s="1"/>
      <x:c r="H198" s="1"/>
      <x:c r="I198" s="6"/>
      <x:c r="J198" s="6"/>
      <x:c r="K198" s="6"/>
      <x:c r="L198" s="8" t="str">
        <x:f>IF(I198="","",I198+J198-K198)</x:f>
      </x:c>
      <x:c r="M198" s="1"/>
      <x:c r="N198" s="1"/>
      <x:c r="O198" s="1"/>
      <x:c r="P198" s="1"/>
      <x:c r="Q198" s="6"/>
      <x:c r="R198" s="6"/>
      <x:c r="S198" s="8" t="n">
        <x:f>IF(AND(M198="Confirmado",ISNUMBER(Q198)),Q198,0)</x:f>
        <x:v>0</x:v>
      </x:c>
      <x:c r="T198" s="8" t="n">
        <x:f>IF(AND(M198="Confirmado",ISNUMBER(R198)),R198,0)</x:f>
        <x:v>0</x:v>
      </x:c>
    </x:row>
    <x:row r="199">
      <x:c r="A199" s="1"/>
      <x:c r="B199" s="5"/>
      <x:c r="C199" s="7" t="str">
        <x:f>IF(B199="","",YEAR(B199))</x:f>
      </x:c>
      <x:c r="D199" s="7" t="str">
        <x:f>IF(B199="","",INT((MONTH(B199)-1)/3)+1)</x:f>
      </x:c>
      <x:c r="E199" s="1"/>
      <x:c r="F199" s="1"/>
      <x:c r="G199" s="1"/>
      <x:c r="H199" s="1"/>
      <x:c r="I199" s="6"/>
      <x:c r="J199" s="6"/>
      <x:c r="K199" s="6"/>
      <x:c r="L199" s="8" t="str">
        <x:f>IF(I199="","",I199+J199-K199)</x:f>
      </x:c>
      <x:c r="M199" s="1"/>
      <x:c r="N199" s="1"/>
      <x:c r="O199" s="1"/>
      <x:c r="P199" s="1"/>
      <x:c r="Q199" s="6"/>
      <x:c r="R199" s="6"/>
      <x:c r="S199" s="8" t="n">
        <x:f>IF(AND(M199="Confirmado",ISNUMBER(Q199)),Q199,0)</x:f>
        <x:v>0</x:v>
      </x:c>
      <x:c r="T199" s="8" t="n">
        <x:f>IF(AND(M199="Confirmado",ISNUMBER(R199)),R199,0)</x:f>
        <x:v>0</x:v>
      </x:c>
    </x:row>
    <x:row r="200">
      <x:c r="A200" s="1"/>
      <x:c r="B200" s="5"/>
      <x:c r="C200" s="7" t="str">
        <x:f>IF(B200="","",YEAR(B200))</x:f>
      </x:c>
      <x:c r="D200" s="7" t="str">
        <x:f>IF(B200="","",INT((MONTH(B200)-1)/3)+1)</x:f>
      </x:c>
      <x:c r="E200" s="1"/>
      <x:c r="F200" s="1"/>
      <x:c r="G200" s="1"/>
      <x:c r="H200" s="1"/>
      <x:c r="I200" s="6"/>
      <x:c r="J200" s="6"/>
      <x:c r="K200" s="6"/>
      <x:c r="L200" s="8" t="str">
        <x:f>IF(I200="","",I200+J200-K200)</x:f>
      </x:c>
      <x:c r="M200" s="1"/>
      <x:c r="N200" s="1"/>
      <x:c r="O200" s="1"/>
      <x:c r="P200" s="1"/>
      <x:c r="Q200" s="6"/>
      <x:c r="R200" s="6"/>
      <x:c r="S200" s="8" t="n">
        <x:f>IF(AND(M200="Confirmado",ISNUMBER(Q200)),Q200,0)</x:f>
        <x:v>0</x:v>
      </x:c>
      <x:c r="T200" s="8" t="n">
        <x:f>IF(AND(M200="Confirmado",ISNUMBER(R200)),R200,0)</x:f>
        <x:v>0</x:v>
      </x:c>
    </x:row>
    <x:row r="201">
      <x:c r="A201" s="1"/>
      <x:c r="B201" s="5"/>
      <x:c r="C201" s="7" t="str">
        <x:f>IF(B201="","",YEAR(B201))</x:f>
      </x:c>
      <x:c r="D201" s="7" t="str">
        <x:f>IF(B201="","",INT((MONTH(B201)-1)/3)+1)</x:f>
      </x:c>
      <x:c r="E201" s="1"/>
      <x:c r="F201" s="1"/>
      <x:c r="G201" s="1"/>
      <x:c r="H201" s="1"/>
      <x:c r="I201" s="6"/>
      <x:c r="J201" s="6"/>
      <x:c r="K201" s="6"/>
      <x:c r="L201" s="8" t="str">
        <x:f>IF(I201="","",I201+J201-K201)</x:f>
      </x:c>
      <x:c r="M201" s="1"/>
      <x:c r="N201" s="1"/>
      <x:c r="O201" s="1"/>
      <x:c r="P201" s="1"/>
      <x:c r="Q201" s="6"/>
      <x:c r="R201" s="6"/>
      <x:c r="S201" s="8" t="n">
        <x:f>IF(AND(M201="Confirmado",ISNUMBER(Q201)),Q201,0)</x:f>
        <x:v>0</x:v>
      </x:c>
      <x:c r="T201" s="8" t="n">
        <x:f>IF(AND(M201="Confirmado",ISNUMBER(R201)),R201,0)</x:f>
        <x:v>0</x:v>
      </x:c>
    </x:row>
  </x:sheetData>
  <x:dataValidations count="4">
    <x:dataValidation type="list" sqref="M2:M201">
      <x:formula1>"Pendiente,Confirmado,Excluido"</x:formula1>
    </x:dataValidation>
    <x:dataValidation type="list" sqref="N2:N201">
      <x:formula1>"Pendiente,Parcial,Completo"</x:formula1>
    </x:dataValidation>
    <x:dataValidation type="list" sqref="O2:O201">
      <x:formula1>"Transferencia,Tarjeta,Bizum,Efectivo,Plataforma,Otro"</x:formula1>
    </x:dataValidation>
    <x:dataValidation type="list" sqref="H2:H201">
      <x:formula1>"Servicios,Ventas,Suscripciones,Suministros,Existencias,Bien de inversión,Seguridad Social,Otros,Revisar"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074f77c354460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44" customHeight="1">
      <x:c r="A1" s="4" t="str">
        <x:v>ID</x:v>
      </x:c>
      <x:c r="B1" s="4" t="str">
        <x:v>Fecha compra</x:v>
      </x:c>
      <x:c r="C1" s="4" t="str">
        <x:v>Descripción</x:v>
      </x:c>
      <x:c r="D1" s="4" t="str">
        <x:v>Factura</x:v>
      </x:c>
      <x:c r="E1" s="4" t="str">
        <x:v>Actividad</x:v>
      </x:c>
      <x:c r="F1" s="4" t="str">
        <x:v>Coste</x:v>
      </x:c>
      <x:c r="G1" s="4" t="str">
        <x:v>IVA</x:v>
      </x:c>
      <x:c r="H1" s="4" t="str">
        <x:v>Uso profesional %</x:v>
      </x:c>
      <x:c r="I1" s="4" t="str">
        <x:v>Puesta en uso</x:v>
      </x:c>
      <x:c r="J1" s="4" t="str">
        <x:v>Método verificado</x:v>
      </x:c>
      <x:c r="K1" s="4" t="str">
        <x:v>Amortización aprobada</x:v>
      </x:c>
      <x:c r="L1" s="4" t="str">
        <x:v>Ejercicio</x:v>
      </x:c>
      <x:c r="M1" s="4" t="str">
        <x:v>Estado revisión</x:v>
      </x:c>
      <x:c r="N1" s="4" t="str">
        <x:v>Notas</x:v>
      </x:c>
    </x:row>
    <x:row r="2">
      <x:c r="A2" s="1"/>
      <x:c r="B2" s="5"/>
      <x:c r="C2" s="1"/>
      <x:c r="D2" s="1"/>
      <x:c r="E2" s="1"/>
      <x:c r="F2" s="6"/>
      <x:c r="G2" s="6"/>
      <x:c r="H2" s="1"/>
      <x:c r="I2" s="5"/>
      <x:c r="J2" s="1"/>
      <x:c r="K2" s="6"/>
      <x:c r="L2" s="1"/>
      <x:c r="M2" s="1"/>
      <x:c r="N2" s="1"/>
    </x:row>
    <x:row r="3">
      <x:c r="A3" s="1"/>
      <x:c r="B3" s="5"/>
      <x:c r="C3" s="1"/>
      <x:c r="D3" s="1"/>
      <x:c r="E3" s="1"/>
      <x:c r="F3" s="6"/>
      <x:c r="G3" s="6"/>
      <x:c r="H3" s="1"/>
      <x:c r="I3" s="5"/>
      <x:c r="J3" s="1"/>
      <x:c r="K3" s="6"/>
      <x:c r="L3" s="1"/>
      <x:c r="M3" s="1"/>
      <x:c r="N3" s="1"/>
    </x:row>
    <x:row r="4">
      <x:c r="A4" s="1"/>
      <x:c r="B4" s="5"/>
      <x:c r="C4" s="1"/>
      <x:c r="D4" s="1"/>
      <x:c r="E4" s="1"/>
      <x:c r="F4" s="6"/>
      <x:c r="G4" s="6"/>
      <x:c r="H4" s="1"/>
      <x:c r="I4" s="5"/>
      <x:c r="J4" s="1"/>
      <x:c r="K4" s="6"/>
      <x:c r="L4" s="1"/>
      <x:c r="M4" s="1"/>
      <x:c r="N4" s="1"/>
    </x:row>
    <x:row r="5">
      <x:c r="A5" s="1"/>
      <x:c r="B5" s="5"/>
      <x:c r="C5" s="1"/>
      <x:c r="D5" s="1"/>
      <x:c r="E5" s="1"/>
      <x:c r="F5" s="6"/>
      <x:c r="G5" s="6"/>
      <x:c r="H5" s="1"/>
      <x:c r="I5" s="5"/>
      <x:c r="J5" s="1"/>
      <x:c r="K5" s="6"/>
      <x:c r="L5" s="1"/>
      <x:c r="M5" s="1"/>
      <x:c r="N5" s="1"/>
    </x:row>
    <x:row r="6">
      <x:c r="A6" s="1"/>
      <x:c r="B6" s="5"/>
      <x:c r="C6" s="1"/>
      <x:c r="D6" s="1"/>
      <x:c r="E6" s="1"/>
      <x:c r="F6" s="6"/>
      <x:c r="G6" s="6"/>
      <x:c r="H6" s="1"/>
      <x:c r="I6" s="5"/>
      <x:c r="J6" s="1"/>
      <x:c r="K6" s="6"/>
      <x:c r="L6" s="1"/>
      <x:c r="M6" s="1"/>
      <x:c r="N6" s="1"/>
    </x:row>
    <x:row r="7">
      <x:c r="A7" s="1"/>
      <x:c r="B7" s="5"/>
      <x:c r="C7" s="1"/>
      <x:c r="D7" s="1"/>
      <x:c r="E7" s="1"/>
      <x:c r="F7" s="6"/>
      <x:c r="G7" s="6"/>
      <x:c r="H7" s="1"/>
      <x:c r="I7" s="5"/>
      <x:c r="J7" s="1"/>
      <x:c r="K7" s="6"/>
      <x:c r="L7" s="1"/>
      <x:c r="M7" s="1"/>
      <x:c r="N7" s="1"/>
    </x:row>
    <x:row r="8">
      <x:c r="A8" s="1"/>
      <x:c r="B8" s="5"/>
      <x:c r="C8" s="1"/>
      <x:c r="D8" s="1"/>
      <x:c r="E8" s="1"/>
      <x:c r="F8" s="6"/>
      <x:c r="G8" s="6"/>
      <x:c r="H8" s="1"/>
      <x:c r="I8" s="5"/>
      <x:c r="J8" s="1"/>
      <x:c r="K8" s="6"/>
      <x:c r="L8" s="1"/>
      <x:c r="M8" s="1"/>
      <x:c r="N8" s="1"/>
    </x:row>
    <x:row r="9">
      <x:c r="A9" s="1"/>
      <x:c r="B9" s="5"/>
      <x:c r="C9" s="1"/>
      <x:c r="D9" s="1"/>
      <x:c r="E9" s="1"/>
      <x:c r="F9" s="6"/>
      <x:c r="G9" s="6"/>
      <x:c r="H9" s="1"/>
      <x:c r="I9" s="5"/>
      <x:c r="J9" s="1"/>
      <x:c r="K9" s="6"/>
      <x:c r="L9" s="1"/>
      <x:c r="M9" s="1"/>
      <x:c r="N9" s="1"/>
    </x:row>
    <x:row r="10">
      <x:c r="A10" s="1"/>
      <x:c r="B10" s="5"/>
      <x:c r="C10" s="1"/>
      <x:c r="D10" s="1"/>
      <x:c r="E10" s="1"/>
      <x:c r="F10" s="6"/>
      <x:c r="G10" s="6"/>
      <x:c r="H10" s="1"/>
      <x:c r="I10" s="5"/>
      <x:c r="J10" s="1"/>
      <x:c r="K10" s="6"/>
      <x:c r="L10" s="1"/>
      <x:c r="M10" s="1"/>
      <x:c r="N10" s="1"/>
    </x:row>
    <x:row r="11">
      <x:c r="A11" s="1"/>
      <x:c r="B11" s="5"/>
      <x:c r="C11" s="1"/>
      <x:c r="D11" s="1"/>
      <x:c r="E11" s="1"/>
      <x:c r="F11" s="6"/>
      <x:c r="G11" s="6"/>
      <x:c r="H11" s="1"/>
      <x:c r="I11" s="5"/>
      <x:c r="J11" s="1"/>
      <x:c r="K11" s="6"/>
      <x:c r="L11" s="1"/>
      <x:c r="M11" s="1"/>
      <x:c r="N11" s="1"/>
    </x:row>
    <x:row r="12">
      <x:c r="A12" s="1"/>
      <x:c r="B12" s="5"/>
      <x:c r="C12" s="1"/>
      <x:c r="D12" s="1"/>
      <x:c r="E12" s="1"/>
      <x:c r="F12" s="6"/>
      <x:c r="G12" s="6"/>
      <x:c r="H12" s="1"/>
      <x:c r="I12" s="5"/>
      <x:c r="J12" s="1"/>
      <x:c r="K12" s="6"/>
      <x:c r="L12" s="1"/>
      <x:c r="M12" s="1"/>
      <x:c r="N12" s="1"/>
    </x:row>
    <x:row r="13">
      <x:c r="A13" s="1"/>
      <x:c r="B13" s="5"/>
      <x:c r="C13" s="1"/>
      <x:c r="D13" s="1"/>
      <x:c r="E13" s="1"/>
      <x:c r="F13" s="6"/>
      <x:c r="G13" s="6"/>
      <x:c r="H13" s="1"/>
      <x:c r="I13" s="5"/>
      <x:c r="J13" s="1"/>
      <x:c r="K13" s="6"/>
      <x:c r="L13" s="1"/>
      <x:c r="M13" s="1"/>
      <x:c r="N13" s="1"/>
    </x:row>
    <x:row r="14">
      <x:c r="A14" s="1"/>
      <x:c r="B14" s="5"/>
      <x:c r="C14" s="1"/>
      <x:c r="D14" s="1"/>
      <x:c r="E14" s="1"/>
      <x:c r="F14" s="6"/>
      <x:c r="G14" s="6"/>
      <x:c r="H14" s="1"/>
      <x:c r="I14" s="5"/>
      <x:c r="J14" s="1"/>
      <x:c r="K14" s="6"/>
      <x:c r="L14" s="1"/>
      <x:c r="M14" s="1"/>
      <x:c r="N14" s="1"/>
    </x:row>
    <x:row r="15">
      <x:c r="A15" s="1"/>
      <x:c r="B15" s="5"/>
      <x:c r="C15" s="1"/>
      <x:c r="D15" s="1"/>
      <x:c r="E15" s="1"/>
      <x:c r="F15" s="6"/>
      <x:c r="G15" s="6"/>
      <x:c r="H15" s="1"/>
      <x:c r="I15" s="5"/>
      <x:c r="J15" s="1"/>
      <x:c r="K15" s="6"/>
      <x:c r="L15" s="1"/>
      <x:c r="M15" s="1"/>
      <x:c r="N15" s="1"/>
    </x:row>
    <x:row r="16">
      <x:c r="A16" s="1"/>
      <x:c r="B16" s="5"/>
      <x:c r="C16" s="1"/>
      <x:c r="D16" s="1"/>
      <x:c r="E16" s="1"/>
      <x:c r="F16" s="6"/>
      <x:c r="G16" s="6"/>
      <x:c r="H16" s="1"/>
      <x:c r="I16" s="5"/>
      <x:c r="J16" s="1"/>
      <x:c r="K16" s="6"/>
      <x:c r="L16" s="1"/>
      <x:c r="M16" s="1"/>
      <x:c r="N16" s="1"/>
    </x:row>
    <x:row r="17">
      <x:c r="A17" s="1"/>
      <x:c r="B17" s="5"/>
      <x:c r="C17" s="1"/>
      <x:c r="D17" s="1"/>
      <x:c r="E17" s="1"/>
      <x:c r="F17" s="6"/>
      <x:c r="G17" s="6"/>
      <x:c r="H17" s="1"/>
      <x:c r="I17" s="5"/>
      <x:c r="J17" s="1"/>
      <x:c r="K17" s="6"/>
      <x:c r="L17" s="1"/>
      <x:c r="M17" s="1"/>
      <x:c r="N17" s="1"/>
    </x:row>
    <x:row r="18">
      <x:c r="A18" s="1"/>
      <x:c r="B18" s="5"/>
      <x:c r="C18" s="1"/>
      <x:c r="D18" s="1"/>
      <x:c r="E18" s="1"/>
      <x:c r="F18" s="6"/>
      <x:c r="G18" s="6"/>
      <x:c r="H18" s="1"/>
      <x:c r="I18" s="5"/>
      <x:c r="J18" s="1"/>
      <x:c r="K18" s="6"/>
      <x:c r="L18" s="1"/>
      <x:c r="M18" s="1"/>
      <x:c r="N18" s="1"/>
    </x:row>
    <x:row r="19">
      <x:c r="A19" s="1"/>
      <x:c r="B19" s="5"/>
      <x:c r="C19" s="1"/>
      <x:c r="D19" s="1"/>
      <x:c r="E19" s="1"/>
      <x:c r="F19" s="6"/>
      <x:c r="G19" s="6"/>
      <x:c r="H19" s="1"/>
      <x:c r="I19" s="5"/>
      <x:c r="J19" s="1"/>
      <x:c r="K19" s="6"/>
      <x:c r="L19" s="1"/>
      <x:c r="M19" s="1"/>
      <x:c r="N19" s="1"/>
    </x:row>
    <x:row r="20">
      <x:c r="A20" s="1"/>
      <x:c r="B20" s="5"/>
      <x:c r="C20" s="1"/>
      <x:c r="D20" s="1"/>
      <x:c r="E20" s="1"/>
      <x:c r="F20" s="6"/>
      <x:c r="G20" s="6"/>
      <x:c r="H20" s="1"/>
      <x:c r="I20" s="5"/>
      <x:c r="J20" s="1"/>
      <x:c r="K20" s="6"/>
      <x:c r="L20" s="1"/>
      <x:c r="M20" s="1"/>
      <x:c r="N20" s="1"/>
    </x:row>
    <x:row r="21">
      <x:c r="A21" s="1"/>
      <x:c r="B21" s="5"/>
      <x:c r="C21" s="1"/>
      <x:c r="D21" s="1"/>
      <x:c r="E21" s="1"/>
      <x:c r="F21" s="6"/>
      <x:c r="G21" s="6"/>
      <x:c r="H21" s="1"/>
      <x:c r="I21" s="5"/>
      <x:c r="J21" s="1"/>
      <x:c r="K21" s="6"/>
      <x:c r="L21" s="1"/>
      <x:c r="M21" s="1"/>
      <x:c r="N21" s="1"/>
    </x:row>
    <x:row r="22">
      <x:c r="A22" s="1"/>
      <x:c r="B22" s="5"/>
      <x:c r="C22" s="1"/>
      <x:c r="D22" s="1"/>
      <x:c r="E22" s="1"/>
      <x:c r="F22" s="6"/>
      <x:c r="G22" s="6"/>
      <x:c r="H22" s="1"/>
      <x:c r="I22" s="5"/>
      <x:c r="J22" s="1"/>
      <x:c r="K22" s="6"/>
      <x:c r="L22" s="1"/>
      <x:c r="M22" s="1"/>
      <x:c r="N22" s="1"/>
    </x:row>
    <x:row r="23">
      <x:c r="A23" s="1"/>
      <x:c r="B23" s="5"/>
      <x:c r="C23" s="1"/>
      <x:c r="D23" s="1"/>
      <x:c r="E23" s="1"/>
      <x:c r="F23" s="6"/>
      <x:c r="G23" s="6"/>
      <x:c r="H23" s="1"/>
      <x:c r="I23" s="5"/>
      <x:c r="J23" s="1"/>
      <x:c r="K23" s="6"/>
      <x:c r="L23" s="1"/>
      <x:c r="M23" s="1"/>
      <x:c r="N23" s="1"/>
    </x:row>
    <x:row r="24">
      <x:c r="A24" s="1"/>
      <x:c r="B24" s="5"/>
      <x:c r="C24" s="1"/>
      <x:c r="D24" s="1"/>
      <x:c r="E24" s="1"/>
      <x:c r="F24" s="6"/>
      <x:c r="G24" s="6"/>
      <x:c r="H24" s="1"/>
      <x:c r="I24" s="5"/>
      <x:c r="J24" s="1"/>
      <x:c r="K24" s="6"/>
      <x:c r="L24" s="1"/>
      <x:c r="M24" s="1"/>
      <x:c r="N24" s="1"/>
    </x:row>
    <x:row r="25">
      <x:c r="A25" s="1"/>
      <x:c r="B25" s="5"/>
      <x:c r="C25" s="1"/>
      <x:c r="D25" s="1"/>
      <x:c r="E25" s="1"/>
      <x:c r="F25" s="6"/>
      <x:c r="G25" s="6"/>
      <x:c r="H25" s="1"/>
      <x:c r="I25" s="5"/>
      <x:c r="J25" s="1"/>
      <x:c r="K25" s="6"/>
      <x:c r="L25" s="1"/>
      <x:c r="M25" s="1"/>
      <x:c r="N25" s="1"/>
    </x:row>
    <x:row r="26">
      <x:c r="A26" s="1"/>
      <x:c r="B26" s="5"/>
      <x:c r="C26" s="1"/>
      <x:c r="D26" s="1"/>
      <x:c r="E26" s="1"/>
      <x:c r="F26" s="6"/>
      <x:c r="G26" s="6"/>
      <x:c r="H26" s="1"/>
      <x:c r="I26" s="5"/>
      <x:c r="J26" s="1"/>
      <x:c r="K26" s="6"/>
      <x:c r="L26" s="1"/>
      <x:c r="M26" s="1"/>
      <x:c r="N26" s="1"/>
    </x:row>
    <x:row r="27">
      <x:c r="A27" s="1"/>
      <x:c r="B27" s="5"/>
      <x:c r="C27" s="1"/>
      <x:c r="D27" s="1"/>
      <x:c r="E27" s="1"/>
      <x:c r="F27" s="6"/>
      <x:c r="G27" s="6"/>
      <x:c r="H27" s="1"/>
      <x:c r="I27" s="5"/>
      <x:c r="J27" s="1"/>
      <x:c r="K27" s="6"/>
      <x:c r="L27" s="1"/>
      <x:c r="M27" s="1"/>
      <x:c r="N27" s="1"/>
    </x:row>
    <x:row r="28">
      <x:c r="A28" s="1"/>
      <x:c r="B28" s="5"/>
      <x:c r="C28" s="1"/>
      <x:c r="D28" s="1"/>
      <x:c r="E28" s="1"/>
      <x:c r="F28" s="6"/>
      <x:c r="G28" s="6"/>
      <x:c r="H28" s="1"/>
      <x:c r="I28" s="5"/>
      <x:c r="J28" s="1"/>
      <x:c r="K28" s="6"/>
      <x:c r="L28" s="1"/>
      <x:c r="M28" s="1"/>
      <x:c r="N28" s="1"/>
    </x:row>
    <x:row r="29">
      <x:c r="A29" s="1"/>
      <x:c r="B29" s="5"/>
      <x:c r="C29" s="1"/>
      <x:c r="D29" s="1"/>
      <x:c r="E29" s="1"/>
      <x:c r="F29" s="6"/>
      <x:c r="G29" s="6"/>
      <x:c r="H29" s="1"/>
      <x:c r="I29" s="5"/>
      <x:c r="J29" s="1"/>
      <x:c r="K29" s="6"/>
      <x:c r="L29" s="1"/>
      <x:c r="M29" s="1"/>
      <x:c r="N29" s="1"/>
    </x:row>
    <x:row r="30">
      <x:c r="A30" s="1"/>
      <x:c r="B30" s="5"/>
      <x:c r="C30" s="1"/>
      <x:c r="D30" s="1"/>
      <x:c r="E30" s="1"/>
      <x:c r="F30" s="6"/>
      <x:c r="G30" s="6"/>
      <x:c r="H30" s="1"/>
      <x:c r="I30" s="5"/>
      <x:c r="J30" s="1"/>
      <x:c r="K30" s="6"/>
      <x:c r="L30" s="1"/>
      <x:c r="M30" s="1"/>
      <x:c r="N30" s="1"/>
    </x:row>
    <x:row r="31">
      <x:c r="A31" s="1"/>
      <x:c r="B31" s="5"/>
      <x:c r="C31" s="1"/>
      <x:c r="D31" s="1"/>
      <x:c r="E31" s="1"/>
      <x:c r="F31" s="6"/>
      <x:c r="G31" s="6"/>
      <x:c r="H31" s="1"/>
      <x:c r="I31" s="5"/>
      <x:c r="J31" s="1"/>
      <x:c r="K31" s="6"/>
      <x:c r="L31" s="1"/>
      <x:c r="M31" s="1"/>
      <x:c r="N31" s="1"/>
    </x:row>
    <x:row r="32">
      <x:c r="A32" s="1"/>
      <x:c r="B32" s="5"/>
      <x:c r="C32" s="1"/>
      <x:c r="D32" s="1"/>
      <x:c r="E32" s="1"/>
      <x:c r="F32" s="6"/>
      <x:c r="G32" s="6"/>
      <x:c r="H32" s="1"/>
      <x:c r="I32" s="5"/>
      <x:c r="J32" s="1"/>
      <x:c r="K32" s="6"/>
      <x:c r="L32" s="1"/>
      <x:c r="M32" s="1"/>
      <x:c r="N32" s="1"/>
    </x:row>
    <x:row r="33">
      <x:c r="A33" s="1"/>
      <x:c r="B33" s="5"/>
      <x:c r="C33" s="1"/>
      <x:c r="D33" s="1"/>
      <x:c r="E33" s="1"/>
      <x:c r="F33" s="6"/>
      <x:c r="G33" s="6"/>
      <x:c r="H33" s="1"/>
      <x:c r="I33" s="5"/>
      <x:c r="J33" s="1"/>
      <x:c r="K33" s="6"/>
      <x:c r="L33" s="1"/>
      <x:c r="M33" s="1"/>
      <x:c r="N33" s="1"/>
    </x:row>
    <x:row r="34">
      <x:c r="A34" s="1"/>
      <x:c r="B34" s="5"/>
      <x:c r="C34" s="1"/>
      <x:c r="D34" s="1"/>
      <x:c r="E34" s="1"/>
      <x:c r="F34" s="6"/>
      <x:c r="G34" s="6"/>
      <x:c r="H34" s="1"/>
      <x:c r="I34" s="5"/>
      <x:c r="J34" s="1"/>
      <x:c r="K34" s="6"/>
      <x:c r="L34" s="1"/>
      <x:c r="M34" s="1"/>
      <x:c r="N34" s="1"/>
    </x:row>
    <x:row r="35">
      <x:c r="A35" s="1"/>
      <x:c r="B35" s="5"/>
      <x:c r="C35" s="1"/>
      <x:c r="D35" s="1"/>
      <x:c r="E35" s="1"/>
      <x:c r="F35" s="6"/>
      <x:c r="G35" s="6"/>
      <x:c r="H35" s="1"/>
      <x:c r="I35" s="5"/>
      <x:c r="J35" s="1"/>
      <x:c r="K35" s="6"/>
      <x:c r="L35" s="1"/>
      <x:c r="M35" s="1"/>
      <x:c r="N35" s="1"/>
    </x:row>
    <x:row r="36">
      <x:c r="A36" s="1"/>
      <x:c r="B36" s="5"/>
      <x:c r="C36" s="1"/>
      <x:c r="D36" s="1"/>
      <x:c r="E36" s="1"/>
      <x:c r="F36" s="6"/>
      <x:c r="G36" s="6"/>
      <x:c r="H36" s="1"/>
      <x:c r="I36" s="5"/>
      <x:c r="J36" s="1"/>
      <x:c r="K36" s="6"/>
      <x:c r="L36" s="1"/>
      <x:c r="M36" s="1"/>
      <x:c r="N36" s="1"/>
    </x:row>
    <x:row r="37">
      <x:c r="A37" s="1"/>
      <x:c r="B37" s="5"/>
      <x:c r="C37" s="1"/>
      <x:c r="D37" s="1"/>
      <x:c r="E37" s="1"/>
      <x:c r="F37" s="6"/>
      <x:c r="G37" s="6"/>
      <x:c r="H37" s="1"/>
      <x:c r="I37" s="5"/>
      <x:c r="J37" s="1"/>
      <x:c r="K37" s="6"/>
      <x:c r="L37" s="1"/>
      <x:c r="M37" s="1"/>
      <x:c r="N37" s="1"/>
    </x:row>
    <x:row r="38">
      <x:c r="A38" s="1"/>
      <x:c r="B38" s="5"/>
      <x:c r="C38" s="1"/>
      <x:c r="D38" s="1"/>
      <x:c r="E38" s="1"/>
      <x:c r="F38" s="6"/>
      <x:c r="G38" s="6"/>
      <x:c r="H38" s="1"/>
      <x:c r="I38" s="5"/>
      <x:c r="J38" s="1"/>
      <x:c r="K38" s="6"/>
      <x:c r="L38" s="1"/>
      <x:c r="M38" s="1"/>
      <x:c r="N38" s="1"/>
    </x:row>
    <x:row r="39">
      <x:c r="A39" s="1"/>
      <x:c r="B39" s="5"/>
      <x:c r="C39" s="1"/>
      <x:c r="D39" s="1"/>
      <x:c r="E39" s="1"/>
      <x:c r="F39" s="6"/>
      <x:c r="G39" s="6"/>
      <x:c r="H39" s="1"/>
      <x:c r="I39" s="5"/>
      <x:c r="J39" s="1"/>
      <x:c r="K39" s="6"/>
      <x:c r="L39" s="1"/>
      <x:c r="M39" s="1"/>
      <x:c r="N39" s="1"/>
    </x:row>
    <x:row r="40">
      <x:c r="A40" s="1"/>
      <x:c r="B40" s="5"/>
      <x:c r="C40" s="1"/>
      <x:c r="D40" s="1"/>
      <x:c r="E40" s="1"/>
      <x:c r="F40" s="6"/>
      <x:c r="G40" s="6"/>
      <x:c r="H40" s="1"/>
      <x:c r="I40" s="5"/>
      <x:c r="J40" s="1"/>
      <x:c r="K40" s="6"/>
      <x:c r="L40" s="1"/>
      <x:c r="M40" s="1"/>
      <x:c r="N40" s="1"/>
    </x:row>
    <x:row r="41">
      <x:c r="A41" s="1"/>
      <x:c r="B41" s="5"/>
      <x:c r="C41" s="1"/>
      <x:c r="D41" s="1"/>
      <x:c r="E41" s="1"/>
      <x:c r="F41" s="6"/>
      <x:c r="G41" s="6"/>
      <x:c r="H41" s="1"/>
      <x:c r="I41" s="5"/>
      <x:c r="J41" s="1"/>
      <x:c r="K41" s="6"/>
      <x:c r="L41" s="1"/>
      <x:c r="M41" s="1"/>
      <x:c r="N41" s="1"/>
    </x:row>
    <x:row r="42">
      <x:c r="A42" s="1"/>
      <x:c r="B42" s="5"/>
      <x:c r="C42" s="1"/>
      <x:c r="D42" s="1"/>
      <x:c r="E42" s="1"/>
      <x:c r="F42" s="6"/>
      <x:c r="G42" s="6"/>
      <x:c r="H42" s="1"/>
      <x:c r="I42" s="5"/>
      <x:c r="J42" s="1"/>
      <x:c r="K42" s="6"/>
      <x:c r="L42" s="1"/>
      <x:c r="M42" s="1"/>
      <x:c r="N42" s="1"/>
    </x:row>
    <x:row r="43">
      <x:c r="A43" s="1"/>
      <x:c r="B43" s="5"/>
      <x:c r="C43" s="1"/>
      <x:c r="D43" s="1"/>
      <x:c r="E43" s="1"/>
      <x:c r="F43" s="6"/>
      <x:c r="G43" s="6"/>
      <x:c r="H43" s="1"/>
      <x:c r="I43" s="5"/>
      <x:c r="J43" s="1"/>
      <x:c r="K43" s="6"/>
      <x:c r="L43" s="1"/>
      <x:c r="M43" s="1"/>
      <x:c r="N43" s="1"/>
    </x:row>
    <x:row r="44">
      <x:c r="A44" s="1"/>
      <x:c r="B44" s="5"/>
      <x:c r="C44" s="1"/>
      <x:c r="D44" s="1"/>
      <x:c r="E44" s="1"/>
      <x:c r="F44" s="6"/>
      <x:c r="G44" s="6"/>
      <x:c r="H44" s="1"/>
      <x:c r="I44" s="5"/>
      <x:c r="J44" s="1"/>
      <x:c r="K44" s="6"/>
      <x:c r="L44" s="1"/>
      <x:c r="M44" s="1"/>
      <x:c r="N44" s="1"/>
    </x:row>
    <x:row r="45">
      <x:c r="A45" s="1"/>
      <x:c r="B45" s="5"/>
      <x:c r="C45" s="1"/>
      <x:c r="D45" s="1"/>
      <x:c r="E45" s="1"/>
      <x:c r="F45" s="6"/>
      <x:c r="G45" s="6"/>
      <x:c r="H45" s="1"/>
      <x:c r="I45" s="5"/>
      <x:c r="J45" s="1"/>
      <x:c r="K45" s="6"/>
      <x:c r="L45" s="1"/>
      <x:c r="M45" s="1"/>
      <x:c r="N45" s="1"/>
    </x:row>
    <x:row r="46">
      <x:c r="A46" s="1"/>
      <x:c r="B46" s="5"/>
      <x:c r="C46" s="1"/>
      <x:c r="D46" s="1"/>
      <x:c r="E46" s="1"/>
      <x:c r="F46" s="6"/>
      <x:c r="G46" s="6"/>
      <x:c r="H46" s="1"/>
      <x:c r="I46" s="5"/>
      <x:c r="J46" s="1"/>
      <x:c r="K46" s="6"/>
      <x:c r="L46" s="1"/>
      <x:c r="M46" s="1"/>
      <x:c r="N46" s="1"/>
    </x:row>
    <x:row r="47">
      <x:c r="A47" s="1"/>
      <x:c r="B47" s="5"/>
      <x:c r="C47" s="1"/>
      <x:c r="D47" s="1"/>
      <x:c r="E47" s="1"/>
      <x:c r="F47" s="6"/>
      <x:c r="G47" s="6"/>
      <x:c r="H47" s="1"/>
      <x:c r="I47" s="5"/>
      <x:c r="J47" s="1"/>
      <x:c r="K47" s="6"/>
      <x:c r="L47" s="1"/>
      <x:c r="M47" s="1"/>
      <x:c r="N47" s="1"/>
    </x:row>
    <x:row r="48">
      <x:c r="A48" s="1"/>
      <x:c r="B48" s="5"/>
      <x:c r="C48" s="1"/>
      <x:c r="D48" s="1"/>
      <x:c r="E48" s="1"/>
      <x:c r="F48" s="6"/>
      <x:c r="G48" s="6"/>
      <x:c r="H48" s="1"/>
      <x:c r="I48" s="5"/>
      <x:c r="J48" s="1"/>
      <x:c r="K48" s="6"/>
      <x:c r="L48" s="1"/>
      <x:c r="M48" s="1"/>
      <x:c r="N48" s="1"/>
    </x:row>
    <x:row r="49">
      <x:c r="A49" s="1"/>
      <x:c r="B49" s="5"/>
      <x:c r="C49" s="1"/>
      <x:c r="D49" s="1"/>
      <x:c r="E49" s="1"/>
      <x:c r="F49" s="6"/>
      <x:c r="G49" s="6"/>
      <x:c r="H49" s="1"/>
      <x:c r="I49" s="5"/>
      <x:c r="J49" s="1"/>
      <x:c r="K49" s="6"/>
      <x:c r="L49" s="1"/>
      <x:c r="M49" s="1"/>
      <x:c r="N49" s="1"/>
    </x:row>
    <x:row r="50">
      <x:c r="A50" s="1"/>
      <x:c r="B50" s="5"/>
      <x:c r="C50" s="1"/>
      <x:c r="D50" s="1"/>
      <x:c r="E50" s="1"/>
      <x:c r="F50" s="6"/>
      <x:c r="G50" s="6"/>
      <x:c r="H50" s="1"/>
      <x:c r="I50" s="5"/>
      <x:c r="J50" s="1"/>
      <x:c r="K50" s="6"/>
      <x:c r="L50" s="1"/>
      <x:c r="M50" s="1"/>
      <x:c r="N50" s="1"/>
    </x:row>
    <x:row r="51">
      <x:c r="A51" s="1"/>
      <x:c r="B51" s="5"/>
      <x:c r="C51" s="1"/>
      <x:c r="D51" s="1"/>
      <x:c r="E51" s="1"/>
      <x:c r="F51" s="6"/>
      <x:c r="G51" s="6"/>
      <x:c r="H51" s="1"/>
      <x:c r="I51" s="5"/>
      <x:c r="J51" s="1"/>
      <x:c r="K51" s="6"/>
      <x:c r="L51" s="1"/>
      <x:c r="M51" s="1"/>
      <x:c r="N51" s="1"/>
    </x:row>
    <x:row r="52">
      <x:c r="A52" s="1"/>
      <x:c r="B52" s="5"/>
      <x:c r="C52" s="1"/>
      <x:c r="D52" s="1"/>
      <x:c r="E52" s="1"/>
      <x:c r="F52" s="6"/>
      <x:c r="G52" s="6"/>
      <x:c r="H52" s="1"/>
      <x:c r="I52" s="5"/>
      <x:c r="J52" s="1"/>
      <x:c r="K52" s="6"/>
      <x:c r="L52" s="1"/>
      <x:c r="M52" s="1"/>
      <x:c r="N52" s="1"/>
    </x:row>
    <x:row r="53">
      <x:c r="A53" s="1"/>
      <x:c r="B53" s="5"/>
      <x:c r="C53" s="1"/>
      <x:c r="D53" s="1"/>
      <x:c r="E53" s="1"/>
      <x:c r="F53" s="6"/>
      <x:c r="G53" s="6"/>
      <x:c r="H53" s="1"/>
      <x:c r="I53" s="5"/>
      <x:c r="J53" s="1"/>
      <x:c r="K53" s="6"/>
      <x:c r="L53" s="1"/>
      <x:c r="M53" s="1"/>
      <x:c r="N53" s="1"/>
    </x:row>
    <x:row r="54">
      <x:c r="A54" s="1"/>
      <x:c r="B54" s="5"/>
      <x:c r="C54" s="1"/>
      <x:c r="D54" s="1"/>
      <x:c r="E54" s="1"/>
      <x:c r="F54" s="6"/>
      <x:c r="G54" s="6"/>
      <x:c r="H54" s="1"/>
      <x:c r="I54" s="5"/>
      <x:c r="J54" s="1"/>
      <x:c r="K54" s="6"/>
      <x:c r="L54" s="1"/>
      <x:c r="M54" s="1"/>
      <x:c r="N54" s="1"/>
    </x:row>
    <x:row r="55">
      <x:c r="A55" s="1"/>
      <x:c r="B55" s="5"/>
      <x:c r="C55" s="1"/>
      <x:c r="D55" s="1"/>
      <x:c r="E55" s="1"/>
      <x:c r="F55" s="6"/>
      <x:c r="G55" s="6"/>
      <x:c r="H55" s="1"/>
      <x:c r="I55" s="5"/>
      <x:c r="J55" s="1"/>
      <x:c r="K55" s="6"/>
      <x:c r="L55" s="1"/>
      <x:c r="M55" s="1"/>
      <x:c r="N55" s="1"/>
    </x:row>
    <x:row r="56">
      <x:c r="A56" s="1"/>
      <x:c r="B56" s="5"/>
      <x:c r="C56" s="1"/>
      <x:c r="D56" s="1"/>
      <x:c r="E56" s="1"/>
      <x:c r="F56" s="6"/>
      <x:c r="G56" s="6"/>
      <x:c r="H56" s="1"/>
      <x:c r="I56" s="5"/>
      <x:c r="J56" s="1"/>
      <x:c r="K56" s="6"/>
      <x:c r="L56" s="1"/>
      <x:c r="M56" s="1"/>
      <x:c r="N56" s="1"/>
    </x:row>
    <x:row r="57">
      <x:c r="A57" s="1"/>
      <x:c r="B57" s="5"/>
      <x:c r="C57" s="1"/>
      <x:c r="D57" s="1"/>
      <x:c r="E57" s="1"/>
      <x:c r="F57" s="6"/>
      <x:c r="G57" s="6"/>
      <x:c r="H57" s="1"/>
      <x:c r="I57" s="5"/>
      <x:c r="J57" s="1"/>
      <x:c r="K57" s="6"/>
      <x:c r="L57" s="1"/>
      <x:c r="M57" s="1"/>
      <x:c r="N57" s="1"/>
    </x:row>
    <x:row r="58">
      <x:c r="A58" s="1"/>
      <x:c r="B58" s="5"/>
      <x:c r="C58" s="1"/>
      <x:c r="D58" s="1"/>
      <x:c r="E58" s="1"/>
      <x:c r="F58" s="6"/>
      <x:c r="G58" s="6"/>
      <x:c r="H58" s="1"/>
      <x:c r="I58" s="5"/>
      <x:c r="J58" s="1"/>
      <x:c r="K58" s="6"/>
      <x:c r="L58" s="1"/>
      <x:c r="M58" s="1"/>
      <x:c r="N58" s="1"/>
    </x:row>
    <x:row r="59">
      <x:c r="A59" s="1"/>
      <x:c r="B59" s="5"/>
      <x:c r="C59" s="1"/>
      <x:c r="D59" s="1"/>
      <x:c r="E59" s="1"/>
      <x:c r="F59" s="6"/>
      <x:c r="G59" s="6"/>
      <x:c r="H59" s="1"/>
      <x:c r="I59" s="5"/>
      <x:c r="J59" s="1"/>
      <x:c r="K59" s="6"/>
      <x:c r="L59" s="1"/>
      <x:c r="M59" s="1"/>
      <x:c r="N59" s="1"/>
    </x:row>
    <x:row r="60">
      <x:c r="A60" s="1"/>
      <x:c r="B60" s="5"/>
      <x:c r="C60" s="1"/>
      <x:c r="D60" s="1"/>
      <x:c r="E60" s="1"/>
      <x:c r="F60" s="6"/>
      <x:c r="G60" s="6"/>
      <x:c r="H60" s="1"/>
      <x:c r="I60" s="5"/>
      <x:c r="J60" s="1"/>
      <x:c r="K60" s="6"/>
      <x:c r="L60" s="1"/>
      <x:c r="M60" s="1"/>
      <x:c r="N60" s="1"/>
    </x:row>
    <x:row r="61">
      <x:c r="A61" s="1"/>
      <x:c r="B61" s="5"/>
      <x:c r="C61" s="1"/>
      <x:c r="D61" s="1"/>
      <x:c r="E61" s="1"/>
      <x:c r="F61" s="6"/>
      <x:c r="G61" s="6"/>
      <x:c r="H61" s="1"/>
      <x:c r="I61" s="5"/>
      <x:c r="J61" s="1"/>
      <x:c r="K61" s="6"/>
      <x:c r="L61" s="1"/>
      <x:c r="M61" s="1"/>
      <x:c r="N61" s="1"/>
    </x:row>
    <x:row r="62">
      <x:c r="A62" s="1"/>
      <x:c r="B62" s="5"/>
      <x:c r="C62" s="1"/>
      <x:c r="D62" s="1"/>
      <x:c r="E62" s="1"/>
      <x:c r="F62" s="6"/>
      <x:c r="G62" s="6"/>
      <x:c r="H62" s="1"/>
      <x:c r="I62" s="5"/>
      <x:c r="J62" s="1"/>
      <x:c r="K62" s="6"/>
      <x:c r="L62" s="1"/>
      <x:c r="M62" s="1"/>
      <x:c r="N62" s="1"/>
    </x:row>
    <x:row r="63">
      <x:c r="A63" s="1"/>
      <x:c r="B63" s="5"/>
      <x:c r="C63" s="1"/>
      <x:c r="D63" s="1"/>
      <x:c r="E63" s="1"/>
      <x:c r="F63" s="6"/>
      <x:c r="G63" s="6"/>
      <x:c r="H63" s="1"/>
      <x:c r="I63" s="5"/>
      <x:c r="J63" s="1"/>
      <x:c r="K63" s="6"/>
      <x:c r="L63" s="1"/>
      <x:c r="M63" s="1"/>
      <x:c r="N63" s="1"/>
    </x:row>
    <x:row r="64">
      <x:c r="A64" s="1"/>
      <x:c r="B64" s="5"/>
      <x:c r="C64" s="1"/>
      <x:c r="D64" s="1"/>
      <x:c r="E64" s="1"/>
      <x:c r="F64" s="6"/>
      <x:c r="G64" s="6"/>
      <x:c r="H64" s="1"/>
      <x:c r="I64" s="5"/>
      <x:c r="J64" s="1"/>
      <x:c r="K64" s="6"/>
      <x:c r="L64" s="1"/>
      <x:c r="M64" s="1"/>
      <x:c r="N64" s="1"/>
    </x:row>
    <x:row r="65">
      <x:c r="A65" s="1"/>
      <x:c r="B65" s="5"/>
      <x:c r="C65" s="1"/>
      <x:c r="D65" s="1"/>
      <x:c r="E65" s="1"/>
      <x:c r="F65" s="6"/>
      <x:c r="G65" s="6"/>
      <x:c r="H65" s="1"/>
      <x:c r="I65" s="5"/>
      <x:c r="J65" s="1"/>
      <x:c r="K65" s="6"/>
      <x:c r="L65" s="1"/>
      <x:c r="M65" s="1"/>
      <x:c r="N65" s="1"/>
    </x:row>
    <x:row r="66">
      <x:c r="A66" s="1"/>
      <x:c r="B66" s="5"/>
      <x:c r="C66" s="1"/>
      <x:c r="D66" s="1"/>
      <x:c r="E66" s="1"/>
      <x:c r="F66" s="6"/>
      <x:c r="G66" s="6"/>
      <x:c r="H66" s="1"/>
      <x:c r="I66" s="5"/>
      <x:c r="J66" s="1"/>
      <x:c r="K66" s="6"/>
      <x:c r="L66" s="1"/>
      <x:c r="M66" s="1"/>
      <x:c r="N66" s="1"/>
    </x:row>
    <x:row r="67">
      <x:c r="A67" s="1"/>
      <x:c r="B67" s="5"/>
      <x:c r="C67" s="1"/>
      <x:c r="D67" s="1"/>
      <x:c r="E67" s="1"/>
      <x:c r="F67" s="6"/>
      <x:c r="G67" s="6"/>
      <x:c r="H67" s="1"/>
      <x:c r="I67" s="5"/>
      <x:c r="J67" s="1"/>
      <x:c r="K67" s="6"/>
      <x:c r="L67" s="1"/>
      <x:c r="M67" s="1"/>
      <x:c r="N67" s="1"/>
    </x:row>
    <x:row r="68">
      <x:c r="A68" s="1"/>
      <x:c r="B68" s="5"/>
      <x:c r="C68" s="1"/>
      <x:c r="D68" s="1"/>
      <x:c r="E68" s="1"/>
      <x:c r="F68" s="6"/>
      <x:c r="G68" s="6"/>
      <x:c r="H68" s="1"/>
      <x:c r="I68" s="5"/>
      <x:c r="J68" s="1"/>
      <x:c r="K68" s="6"/>
      <x:c r="L68" s="1"/>
      <x:c r="M68" s="1"/>
      <x:c r="N68" s="1"/>
    </x:row>
    <x:row r="69">
      <x:c r="A69" s="1"/>
      <x:c r="B69" s="5"/>
      <x:c r="C69" s="1"/>
      <x:c r="D69" s="1"/>
      <x:c r="E69" s="1"/>
      <x:c r="F69" s="6"/>
      <x:c r="G69" s="6"/>
      <x:c r="H69" s="1"/>
      <x:c r="I69" s="5"/>
      <x:c r="J69" s="1"/>
      <x:c r="K69" s="6"/>
      <x:c r="L69" s="1"/>
      <x:c r="M69" s="1"/>
      <x:c r="N69" s="1"/>
    </x:row>
    <x:row r="70">
      <x:c r="A70" s="1"/>
      <x:c r="B70" s="5"/>
      <x:c r="C70" s="1"/>
      <x:c r="D70" s="1"/>
      <x:c r="E70" s="1"/>
      <x:c r="F70" s="6"/>
      <x:c r="G70" s="6"/>
      <x:c r="H70" s="1"/>
      <x:c r="I70" s="5"/>
      <x:c r="J70" s="1"/>
      <x:c r="K70" s="6"/>
      <x:c r="L70" s="1"/>
      <x:c r="M70" s="1"/>
      <x:c r="N70" s="1"/>
    </x:row>
    <x:row r="71">
      <x:c r="A71" s="1"/>
      <x:c r="B71" s="5"/>
      <x:c r="C71" s="1"/>
      <x:c r="D71" s="1"/>
      <x:c r="E71" s="1"/>
      <x:c r="F71" s="6"/>
      <x:c r="G71" s="6"/>
      <x:c r="H71" s="1"/>
      <x:c r="I71" s="5"/>
      <x:c r="J71" s="1"/>
      <x:c r="K71" s="6"/>
      <x:c r="L71" s="1"/>
      <x:c r="M71" s="1"/>
      <x:c r="N71" s="1"/>
    </x:row>
    <x:row r="72">
      <x:c r="A72" s="1"/>
      <x:c r="B72" s="5"/>
      <x:c r="C72" s="1"/>
      <x:c r="D72" s="1"/>
      <x:c r="E72" s="1"/>
      <x:c r="F72" s="6"/>
      <x:c r="G72" s="6"/>
      <x:c r="H72" s="1"/>
      <x:c r="I72" s="5"/>
      <x:c r="J72" s="1"/>
      <x:c r="K72" s="6"/>
      <x:c r="L72" s="1"/>
      <x:c r="M72" s="1"/>
      <x:c r="N72" s="1"/>
    </x:row>
    <x:row r="73">
      <x:c r="A73" s="1"/>
      <x:c r="B73" s="5"/>
      <x:c r="C73" s="1"/>
      <x:c r="D73" s="1"/>
      <x:c r="E73" s="1"/>
      <x:c r="F73" s="6"/>
      <x:c r="G73" s="6"/>
      <x:c r="H73" s="1"/>
      <x:c r="I73" s="5"/>
      <x:c r="J73" s="1"/>
      <x:c r="K73" s="6"/>
      <x:c r="L73" s="1"/>
      <x:c r="M73" s="1"/>
      <x:c r="N73" s="1"/>
    </x:row>
    <x:row r="74">
      <x:c r="A74" s="1"/>
      <x:c r="B74" s="5"/>
      <x:c r="C74" s="1"/>
      <x:c r="D74" s="1"/>
      <x:c r="E74" s="1"/>
      <x:c r="F74" s="6"/>
      <x:c r="G74" s="6"/>
      <x:c r="H74" s="1"/>
      <x:c r="I74" s="5"/>
      <x:c r="J74" s="1"/>
      <x:c r="K74" s="6"/>
      <x:c r="L74" s="1"/>
      <x:c r="M74" s="1"/>
      <x:c r="N74" s="1"/>
    </x:row>
    <x:row r="75">
      <x:c r="A75" s="1"/>
      <x:c r="B75" s="5"/>
      <x:c r="C75" s="1"/>
      <x:c r="D75" s="1"/>
      <x:c r="E75" s="1"/>
      <x:c r="F75" s="6"/>
      <x:c r="G75" s="6"/>
      <x:c r="H75" s="1"/>
      <x:c r="I75" s="5"/>
      <x:c r="J75" s="1"/>
      <x:c r="K75" s="6"/>
      <x:c r="L75" s="1"/>
      <x:c r="M75" s="1"/>
      <x:c r="N75" s="1"/>
    </x:row>
    <x:row r="76">
      <x:c r="A76" s="1"/>
      <x:c r="B76" s="5"/>
      <x:c r="C76" s="1"/>
      <x:c r="D76" s="1"/>
      <x:c r="E76" s="1"/>
      <x:c r="F76" s="6"/>
      <x:c r="G76" s="6"/>
      <x:c r="H76" s="1"/>
      <x:c r="I76" s="5"/>
      <x:c r="J76" s="1"/>
      <x:c r="K76" s="6"/>
      <x:c r="L76" s="1"/>
      <x:c r="M76" s="1"/>
      <x:c r="N76" s="1"/>
    </x:row>
    <x:row r="77">
      <x:c r="A77" s="1"/>
      <x:c r="B77" s="5"/>
      <x:c r="C77" s="1"/>
      <x:c r="D77" s="1"/>
      <x:c r="E77" s="1"/>
      <x:c r="F77" s="6"/>
      <x:c r="G77" s="6"/>
      <x:c r="H77" s="1"/>
      <x:c r="I77" s="5"/>
      <x:c r="J77" s="1"/>
      <x:c r="K77" s="6"/>
      <x:c r="L77" s="1"/>
      <x:c r="M77" s="1"/>
      <x:c r="N77" s="1"/>
    </x:row>
    <x:row r="78">
      <x:c r="A78" s="1"/>
      <x:c r="B78" s="5"/>
      <x:c r="C78" s="1"/>
      <x:c r="D78" s="1"/>
      <x:c r="E78" s="1"/>
      <x:c r="F78" s="6"/>
      <x:c r="G78" s="6"/>
      <x:c r="H78" s="1"/>
      <x:c r="I78" s="5"/>
      <x:c r="J78" s="1"/>
      <x:c r="K78" s="6"/>
      <x:c r="L78" s="1"/>
      <x:c r="M78" s="1"/>
      <x:c r="N78" s="1"/>
    </x:row>
    <x:row r="79">
      <x:c r="A79" s="1"/>
      <x:c r="B79" s="5"/>
      <x:c r="C79" s="1"/>
      <x:c r="D79" s="1"/>
      <x:c r="E79" s="1"/>
      <x:c r="F79" s="6"/>
      <x:c r="G79" s="6"/>
      <x:c r="H79" s="1"/>
      <x:c r="I79" s="5"/>
      <x:c r="J79" s="1"/>
      <x:c r="K79" s="6"/>
      <x:c r="L79" s="1"/>
      <x:c r="M79" s="1"/>
      <x:c r="N79" s="1"/>
    </x:row>
    <x:row r="80">
      <x:c r="A80" s="1"/>
      <x:c r="B80" s="5"/>
      <x:c r="C80" s="1"/>
      <x:c r="D80" s="1"/>
      <x:c r="E80" s="1"/>
      <x:c r="F80" s="6"/>
      <x:c r="G80" s="6"/>
      <x:c r="H80" s="1"/>
      <x:c r="I80" s="5"/>
      <x:c r="J80" s="1"/>
      <x:c r="K80" s="6"/>
      <x:c r="L80" s="1"/>
      <x:c r="M80" s="1"/>
      <x:c r="N80" s="1"/>
    </x:row>
    <x:row r="81">
      <x:c r="A81" s="1"/>
      <x:c r="B81" s="5"/>
      <x:c r="C81" s="1"/>
      <x:c r="D81" s="1"/>
      <x:c r="E81" s="1"/>
      <x:c r="F81" s="6"/>
      <x:c r="G81" s="6"/>
      <x:c r="H81" s="1"/>
      <x:c r="I81" s="5"/>
      <x:c r="J81" s="1"/>
      <x:c r="K81" s="6"/>
      <x:c r="L81" s="1"/>
      <x:c r="M81" s="1"/>
      <x:c r="N81" s="1"/>
    </x:row>
    <x:row r="82">
      <x:c r="A82" s="1"/>
      <x:c r="B82" s="5"/>
      <x:c r="C82" s="1"/>
      <x:c r="D82" s="1"/>
      <x:c r="E82" s="1"/>
      <x:c r="F82" s="6"/>
      <x:c r="G82" s="6"/>
      <x:c r="H82" s="1"/>
      <x:c r="I82" s="5"/>
      <x:c r="J82" s="1"/>
      <x:c r="K82" s="6"/>
      <x:c r="L82" s="1"/>
      <x:c r="M82" s="1"/>
      <x:c r="N82" s="1"/>
    </x:row>
    <x:row r="83">
      <x:c r="A83" s="1"/>
      <x:c r="B83" s="5"/>
      <x:c r="C83" s="1"/>
      <x:c r="D83" s="1"/>
      <x:c r="E83" s="1"/>
      <x:c r="F83" s="6"/>
      <x:c r="G83" s="6"/>
      <x:c r="H83" s="1"/>
      <x:c r="I83" s="5"/>
      <x:c r="J83" s="1"/>
      <x:c r="K83" s="6"/>
      <x:c r="L83" s="1"/>
      <x:c r="M83" s="1"/>
      <x:c r="N83" s="1"/>
    </x:row>
    <x:row r="84">
      <x:c r="A84" s="1"/>
      <x:c r="B84" s="5"/>
      <x:c r="C84" s="1"/>
      <x:c r="D84" s="1"/>
      <x:c r="E84" s="1"/>
      <x:c r="F84" s="6"/>
      <x:c r="G84" s="6"/>
      <x:c r="H84" s="1"/>
      <x:c r="I84" s="5"/>
      <x:c r="J84" s="1"/>
      <x:c r="K84" s="6"/>
      <x:c r="L84" s="1"/>
      <x:c r="M84" s="1"/>
      <x:c r="N84" s="1"/>
    </x:row>
    <x:row r="85">
      <x:c r="A85" s="1"/>
      <x:c r="B85" s="5"/>
      <x:c r="C85" s="1"/>
      <x:c r="D85" s="1"/>
      <x:c r="E85" s="1"/>
      <x:c r="F85" s="6"/>
      <x:c r="G85" s="6"/>
      <x:c r="H85" s="1"/>
      <x:c r="I85" s="5"/>
      <x:c r="J85" s="1"/>
      <x:c r="K85" s="6"/>
      <x:c r="L85" s="1"/>
      <x:c r="M85" s="1"/>
      <x:c r="N85" s="1"/>
    </x:row>
    <x:row r="86">
      <x:c r="A86" s="1"/>
      <x:c r="B86" s="5"/>
      <x:c r="C86" s="1"/>
      <x:c r="D86" s="1"/>
      <x:c r="E86" s="1"/>
      <x:c r="F86" s="6"/>
      <x:c r="G86" s="6"/>
      <x:c r="H86" s="1"/>
      <x:c r="I86" s="5"/>
      <x:c r="J86" s="1"/>
      <x:c r="K86" s="6"/>
      <x:c r="L86" s="1"/>
      <x:c r="M86" s="1"/>
      <x:c r="N86" s="1"/>
    </x:row>
    <x:row r="87">
      <x:c r="A87" s="1"/>
      <x:c r="B87" s="5"/>
      <x:c r="C87" s="1"/>
      <x:c r="D87" s="1"/>
      <x:c r="E87" s="1"/>
      <x:c r="F87" s="6"/>
      <x:c r="G87" s="6"/>
      <x:c r="H87" s="1"/>
      <x:c r="I87" s="5"/>
      <x:c r="J87" s="1"/>
      <x:c r="K87" s="6"/>
      <x:c r="L87" s="1"/>
      <x:c r="M87" s="1"/>
      <x:c r="N87" s="1"/>
    </x:row>
    <x:row r="88">
      <x:c r="A88" s="1"/>
      <x:c r="B88" s="5"/>
      <x:c r="C88" s="1"/>
      <x:c r="D88" s="1"/>
      <x:c r="E88" s="1"/>
      <x:c r="F88" s="6"/>
      <x:c r="G88" s="6"/>
      <x:c r="H88" s="1"/>
      <x:c r="I88" s="5"/>
      <x:c r="J88" s="1"/>
      <x:c r="K88" s="6"/>
      <x:c r="L88" s="1"/>
      <x:c r="M88" s="1"/>
      <x:c r="N88" s="1"/>
    </x:row>
    <x:row r="89">
      <x:c r="A89" s="1"/>
      <x:c r="B89" s="5"/>
      <x:c r="C89" s="1"/>
      <x:c r="D89" s="1"/>
      <x:c r="E89" s="1"/>
      <x:c r="F89" s="6"/>
      <x:c r="G89" s="6"/>
      <x:c r="H89" s="1"/>
      <x:c r="I89" s="5"/>
      <x:c r="J89" s="1"/>
      <x:c r="K89" s="6"/>
      <x:c r="L89" s="1"/>
      <x:c r="M89" s="1"/>
      <x:c r="N89" s="1"/>
    </x:row>
    <x:row r="90">
      <x:c r="A90" s="1"/>
      <x:c r="B90" s="5"/>
      <x:c r="C90" s="1"/>
      <x:c r="D90" s="1"/>
      <x:c r="E90" s="1"/>
      <x:c r="F90" s="6"/>
      <x:c r="G90" s="6"/>
      <x:c r="H90" s="1"/>
      <x:c r="I90" s="5"/>
      <x:c r="J90" s="1"/>
      <x:c r="K90" s="6"/>
      <x:c r="L90" s="1"/>
      <x:c r="M90" s="1"/>
      <x:c r="N90" s="1"/>
    </x:row>
    <x:row r="91">
      <x:c r="A91" s="1"/>
      <x:c r="B91" s="5"/>
      <x:c r="C91" s="1"/>
      <x:c r="D91" s="1"/>
      <x:c r="E91" s="1"/>
      <x:c r="F91" s="6"/>
      <x:c r="G91" s="6"/>
      <x:c r="H91" s="1"/>
      <x:c r="I91" s="5"/>
      <x:c r="J91" s="1"/>
      <x:c r="K91" s="6"/>
      <x:c r="L91" s="1"/>
      <x:c r="M91" s="1"/>
      <x:c r="N91" s="1"/>
    </x:row>
    <x:row r="92">
      <x:c r="A92" s="1"/>
      <x:c r="B92" s="5"/>
      <x:c r="C92" s="1"/>
      <x:c r="D92" s="1"/>
      <x:c r="E92" s="1"/>
      <x:c r="F92" s="6"/>
      <x:c r="G92" s="6"/>
      <x:c r="H92" s="1"/>
      <x:c r="I92" s="5"/>
      <x:c r="J92" s="1"/>
      <x:c r="K92" s="6"/>
      <x:c r="L92" s="1"/>
      <x:c r="M92" s="1"/>
      <x:c r="N92" s="1"/>
    </x:row>
    <x:row r="93">
      <x:c r="A93" s="1"/>
      <x:c r="B93" s="5"/>
      <x:c r="C93" s="1"/>
      <x:c r="D93" s="1"/>
      <x:c r="E93" s="1"/>
      <x:c r="F93" s="6"/>
      <x:c r="G93" s="6"/>
      <x:c r="H93" s="1"/>
      <x:c r="I93" s="5"/>
      <x:c r="J93" s="1"/>
      <x:c r="K93" s="6"/>
      <x:c r="L93" s="1"/>
      <x:c r="M93" s="1"/>
      <x:c r="N93" s="1"/>
    </x:row>
    <x:row r="94">
      <x:c r="A94" s="1"/>
      <x:c r="B94" s="5"/>
      <x:c r="C94" s="1"/>
      <x:c r="D94" s="1"/>
      <x:c r="E94" s="1"/>
      <x:c r="F94" s="6"/>
      <x:c r="G94" s="6"/>
      <x:c r="H94" s="1"/>
      <x:c r="I94" s="5"/>
      <x:c r="J94" s="1"/>
      <x:c r="K94" s="6"/>
      <x:c r="L94" s="1"/>
      <x:c r="M94" s="1"/>
      <x:c r="N94" s="1"/>
    </x:row>
    <x:row r="95">
      <x:c r="A95" s="1"/>
      <x:c r="B95" s="5"/>
      <x:c r="C95" s="1"/>
      <x:c r="D95" s="1"/>
      <x:c r="E95" s="1"/>
      <x:c r="F95" s="6"/>
      <x:c r="G95" s="6"/>
      <x:c r="H95" s="1"/>
      <x:c r="I95" s="5"/>
      <x:c r="J95" s="1"/>
      <x:c r="K95" s="6"/>
      <x:c r="L95" s="1"/>
      <x:c r="M95" s="1"/>
      <x:c r="N95" s="1"/>
    </x:row>
    <x:row r="96">
      <x:c r="A96" s="1"/>
      <x:c r="B96" s="5"/>
      <x:c r="C96" s="1"/>
      <x:c r="D96" s="1"/>
      <x:c r="E96" s="1"/>
      <x:c r="F96" s="6"/>
      <x:c r="G96" s="6"/>
      <x:c r="H96" s="1"/>
      <x:c r="I96" s="5"/>
      <x:c r="J96" s="1"/>
      <x:c r="K96" s="6"/>
      <x:c r="L96" s="1"/>
      <x:c r="M96" s="1"/>
      <x:c r="N96" s="1"/>
    </x:row>
    <x:row r="97">
      <x:c r="A97" s="1"/>
      <x:c r="B97" s="5"/>
      <x:c r="C97" s="1"/>
      <x:c r="D97" s="1"/>
      <x:c r="E97" s="1"/>
      <x:c r="F97" s="6"/>
      <x:c r="G97" s="6"/>
      <x:c r="H97" s="1"/>
      <x:c r="I97" s="5"/>
      <x:c r="J97" s="1"/>
      <x:c r="K97" s="6"/>
      <x:c r="L97" s="1"/>
      <x:c r="M97" s="1"/>
      <x:c r="N97" s="1"/>
    </x:row>
    <x:row r="98">
      <x:c r="A98" s="1"/>
      <x:c r="B98" s="5"/>
      <x:c r="C98" s="1"/>
      <x:c r="D98" s="1"/>
      <x:c r="E98" s="1"/>
      <x:c r="F98" s="6"/>
      <x:c r="G98" s="6"/>
      <x:c r="H98" s="1"/>
      <x:c r="I98" s="5"/>
      <x:c r="J98" s="1"/>
      <x:c r="K98" s="6"/>
      <x:c r="L98" s="1"/>
      <x:c r="M98" s="1"/>
      <x:c r="N98" s="1"/>
    </x:row>
    <x:row r="99">
      <x:c r="A99" s="1"/>
      <x:c r="B99" s="5"/>
      <x:c r="C99" s="1"/>
      <x:c r="D99" s="1"/>
      <x:c r="E99" s="1"/>
      <x:c r="F99" s="6"/>
      <x:c r="G99" s="6"/>
      <x:c r="H99" s="1"/>
      <x:c r="I99" s="5"/>
      <x:c r="J99" s="1"/>
      <x:c r="K99" s="6"/>
      <x:c r="L99" s="1"/>
      <x:c r="M99" s="1"/>
      <x:c r="N99" s="1"/>
    </x:row>
    <x:row r="100">
      <x:c r="A100" s="1"/>
      <x:c r="B100" s="5"/>
      <x:c r="C100" s="1"/>
      <x:c r="D100" s="1"/>
      <x:c r="E100" s="1"/>
      <x:c r="F100" s="6"/>
      <x:c r="G100" s="6"/>
      <x:c r="H100" s="1"/>
      <x:c r="I100" s="5"/>
      <x:c r="J100" s="1"/>
      <x:c r="K100" s="6"/>
      <x:c r="L100" s="1"/>
      <x:c r="M100" s="1"/>
      <x:c r="N100" s="1"/>
    </x:row>
    <x:row r="101">
      <x:c r="A101" s="1"/>
      <x:c r="B101" s="5"/>
      <x:c r="C101" s="1"/>
      <x:c r="D101" s="1"/>
      <x:c r="E101" s="1"/>
      <x:c r="F101" s="6"/>
      <x:c r="G101" s="6"/>
      <x:c r="H101" s="1"/>
      <x:c r="I101" s="5"/>
      <x:c r="J101" s="1"/>
      <x:c r="K101" s="6"/>
      <x:c r="L101" s="1"/>
      <x:c r="M101" s="1"/>
      <x:c r="N101" s="1"/>
    </x:row>
    <x:row r="102">
      <x:c r="A102" s="1"/>
      <x:c r="B102" s="5"/>
      <x:c r="C102" s="1"/>
      <x:c r="D102" s="1"/>
      <x:c r="E102" s="1"/>
      <x:c r="F102" s="6"/>
      <x:c r="G102" s="6"/>
      <x:c r="H102" s="1"/>
      <x:c r="I102" s="5"/>
      <x:c r="J102" s="1"/>
      <x:c r="K102" s="6"/>
      <x:c r="L102" s="1"/>
      <x:c r="M102" s="1"/>
      <x:c r="N102" s="1"/>
    </x:row>
    <x:row r="103">
      <x:c r="A103" s="1"/>
      <x:c r="B103" s="5"/>
      <x:c r="C103" s="1"/>
      <x:c r="D103" s="1"/>
      <x:c r="E103" s="1"/>
      <x:c r="F103" s="6"/>
      <x:c r="G103" s="6"/>
      <x:c r="H103" s="1"/>
      <x:c r="I103" s="5"/>
      <x:c r="J103" s="1"/>
      <x:c r="K103" s="6"/>
      <x:c r="L103" s="1"/>
      <x:c r="M103" s="1"/>
      <x:c r="N103" s="1"/>
    </x:row>
    <x:row r="104">
      <x:c r="A104" s="1"/>
      <x:c r="B104" s="5"/>
      <x:c r="C104" s="1"/>
      <x:c r="D104" s="1"/>
      <x:c r="E104" s="1"/>
      <x:c r="F104" s="6"/>
      <x:c r="G104" s="6"/>
      <x:c r="H104" s="1"/>
      <x:c r="I104" s="5"/>
      <x:c r="J104" s="1"/>
      <x:c r="K104" s="6"/>
      <x:c r="L104" s="1"/>
      <x:c r="M104" s="1"/>
      <x:c r="N104" s="1"/>
    </x:row>
    <x:row r="105">
      <x:c r="A105" s="1"/>
      <x:c r="B105" s="5"/>
      <x:c r="C105" s="1"/>
      <x:c r="D105" s="1"/>
      <x:c r="E105" s="1"/>
      <x:c r="F105" s="6"/>
      <x:c r="G105" s="6"/>
      <x:c r="H105" s="1"/>
      <x:c r="I105" s="5"/>
      <x:c r="J105" s="1"/>
      <x:c r="K105" s="6"/>
      <x:c r="L105" s="1"/>
      <x:c r="M105" s="1"/>
      <x:c r="N105" s="1"/>
    </x:row>
    <x:row r="106">
      <x:c r="A106" s="1"/>
      <x:c r="B106" s="5"/>
      <x:c r="C106" s="1"/>
      <x:c r="D106" s="1"/>
      <x:c r="E106" s="1"/>
      <x:c r="F106" s="6"/>
      <x:c r="G106" s="6"/>
      <x:c r="H106" s="1"/>
      <x:c r="I106" s="5"/>
      <x:c r="J106" s="1"/>
      <x:c r="K106" s="6"/>
      <x:c r="L106" s="1"/>
      <x:c r="M106" s="1"/>
      <x:c r="N106" s="1"/>
    </x:row>
    <x:row r="107">
      <x:c r="A107" s="1"/>
      <x:c r="B107" s="5"/>
      <x:c r="C107" s="1"/>
      <x:c r="D107" s="1"/>
      <x:c r="E107" s="1"/>
      <x:c r="F107" s="6"/>
      <x:c r="G107" s="6"/>
      <x:c r="H107" s="1"/>
      <x:c r="I107" s="5"/>
      <x:c r="J107" s="1"/>
      <x:c r="K107" s="6"/>
      <x:c r="L107" s="1"/>
      <x:c r="M107" s="1"/>
      <x:c r="N107" s="1"/>
    </x:row>
    <x:row r="108">
      <x:c r="A108" s="1"/>
      <x:c r="B108" s="5"/>
      <x:c r="C108" s="1"/>
      <x:c r="D108" s="1"/>
      <x:c r="E108" s="1"/>
      <x:c r="F108" s="6"/>
      <x:c r="G108" s="6"/>
      <x:c r="H108" s="1"/>
      <x:c r="I108" s="5"/>
      <x:c r="J108" s="1"/>
      <x:c r="K108" s="6"/>
      <x:c r="L108" s="1"/>
      <x:c r="M108" s="1"/>
      <x:c r="N108" s="1"/>
    </x:row>
    <x:row r="109">
      <x:c r="A109" s="1"/>
      <x:c r="B109" s="5"/>
      <x:c r="C109" s="1"/>
      <x:c r="D109" s="1"/>
      <x:c r="E109" s="1"/>
      <x:c r="F109" s="6"/>
      <x:c r="G109" s="6"/>
      <x:c r="H109" s="1"/>
      <x:c r="I109" s="5"/>
      <x:c r="J109" s="1"/>
      <x:c r="K109" s="6"/>
      <x:c r="L109" s="1"/>
      <x:c r="M109" s="1"/>
      <x:c r="N109" s="1"/>
    </x:row>
    <x:row r="110">
      <x:c r="A110" s="1"/>
      <x:c r="B110" s="5"/>
      <x:c r="C110" s="1"/>
      <x:c r="D110" s="1"/>
      <x:c r="E110" s="1"/>
      <x:c r="F110" s="6"/>
      <x:c r="G110" s="6"/>
      <x:c r="H110" s="1"/>
      <x:c r="I110" s="5"/>
      <x:c r="J110" s="1"/>
      <x:c r="K110" s="6"/>
      <x:c r="L110" s="1"/>
      <x:c r="M110" s="1"/>
      <x:c r="N110" s="1"/>
    </x:row>
    <x:row r="111">
      <x:c r="A111" s="1"/>
      <x:c r="B111" s="5"/>
      <x:c r="C111" s="1"/>
      <x:c r="D111" s="1"/>
      <x:c r="E111" s="1"/>
      <x:c r="F111" s="6"/>
      <x:c r="G111" s="6"/>
      <x:c r="H111" s="1"/>
      <x:c r="I111" s="5"/>
      <x:c r="J111" s="1"/>
      <x:c r="K111" s="6"/>
      <x:c r="L111" s="1"/>
      <x:c r="M111" s="1"/>
      <x:c r="N111" s="1"/>
    </x:row>
    <x:row r="112">
      <x:c r="A112" s="1"/>
      <x:c r="B112" s="5"/>
      <x:c r="C112" s="1"/>
      <x:c r="D112" s="1"/>
      <x:c r="E112" s="1"/>
      <x:c r="F112" s="6"/>
      <x:c r="G112" s="6"/>
      <x:c r="H112" s="1"/>
      <x:c r="I112" s="5"/>
      <x:c r="J112" s="1"/>
      <x:c r="K112" s="6"/>
      <x:c r="L112" s="1"/>
      <x:c r="M112" s="1"/>
      <x:c r="N112" s="1"/>
    </x:row>
    <x:row r="113">
      <x:c r="A113" s="1"/>
      <x:c r="B113" s="5"/>
      <x:c r="C113" s="1"/>
      <x:c r="D113" s="1"/>
      <x:c r="E113" s="1"/>
      <x:c r="F113" s="6"/>
      <x:c r="G113" s="6"/>
      <x:c r="H113" s="1"/>
      <x:c r="I113" s="5"/>
      <x:c r="J113" s="1"/>
      <x:c r="K113" s="6"/>
      <x:c r="L113" s="1"/>
      <x:c r="M113" s="1"/>
      <x:c r="N113" s="1"/>
    </x:row>
    <x:row r="114">
      <x:c r="A114" s="1"/>
      <x:c r="B114" s="5"/>
      <x:c r="C114" s="1"/>
      <x:c r="D114" s="1"/>
      <x:c r="E114" s="1"/>
      <x:c r="F114" s="6"/>
      <x:c r="G114" s="6"/>
      <x:c r="H114" s="1"/>
      <x:c r="I114" s="5"/>
      <x:c r="J114" s="1"/>
      <x:c r="K114" s="6"/>
      <x:c r="L114" s="1"/>
      <x:c r="M114" s="1"/>
      <x:c r="N114" s="1"/>
    </x:row>
    <x:row r="115">
      <x:c r="A115" s="1"/>
      <x:c r="B115" s="5"/>
      <x:c r="C115" s="1"/>
      <x:c r="D115" s="1"/>
      <x:c r="E115" s="1"/>
      <x:c r="F115" s="6"/>
      <x:c r="G115" s="6"/>
      <x:c r="H115" s="1"/>
      <x:c r="I115" s="5"/>
      <x:c r="J115" s="1"/>
      <x:c r="K115" s="6"/>
      <x:c r="L115" s="1"/>
      <x:c r="M115" s="1"/>
      <x:c r="N115" s="1"/>
    </x:row>
    <x:row r="116">
      <x:c r="A116" s="1"/>
      <x:c r="B116" s="5"/>
      <x:c r="C116" s="1"/>
      <x:c r="D116" s="1"/>
      <x:c r="E116" s="1"/>
      <x:c r="F116" s="6"/>
      <x:c r="G116" s="6"/>
      <x:c r="H116" s="1"/>
      <x:c r="I116" s="5"/>
      <x:c r="J116" s="1"/>
      <x:c r="K116" s="6"/>
      <x:c r="L116" s="1"/>
      <x:c r="M116" s="1"/>
      <x:c r="N116" s="1"/>
    </x:row>
    <x:row r="117">
      <x:c r="A117" s="1"/>
      <x:c r="B117" s="5"/>
      <x:c r="C117" s="1"/>
      <x:c r="D117" s="1"/>
      <x:c r="E117" s="1"/>
      <x:c r="F117" s="6"/>
      <x:c r="G117" s="6"/>
      <x:c r="H117" s="1"/>
      <x:c r="I117" s="5"/>
      <x:c r="J117" s="1"/>
      <x:c r="K117" s="6"/>
      <x:c r="L117" s="1"/>
      <x:c r="M117" s="1"/>
      <x:c r="N117" s="1"/>
    </x:row>
    <x:row r="118">
      <x:c r="A118" s="1"/>
      <x:c r="B118" s="5"/>
      <x:c r="C118" s="1"/>
      <x:c r="D118" s="1"/>
      <x:c r="E118" s="1"/>
      <x:c r="F118" s="6"/>
      <x:c r="G118" s="6"/>
      <x:c r="H118" s="1"/>
      <x:c r="I118" s="5"/>
      <x:c r="J118" s="1"/>
      <x:c r="K118" s="6"/>
      <x:c r="L118" s="1"/>
      <x:c r="M118" s="1"/>
      <x:c r="N118" s="1"/>
    </x:row>
    <x:row r="119">
      <x:c r="A119" s="1"/>
      <x:c r="B119" s="5"/>
      <x:c r="C119" s="1"/>
      <x:c r="D119" s="1"/>
      <x:c r="E119" s="1"/>
      <x:c r="F119" s="6"/>
      <x:c r="G119" s="6"/>
      <x:c r="H119" s="1"/>
      <x:c r="I119" s="5"/>
      <x:c r="J119" s="1"/>
      <x:c r="K119" s="6"/>
      <x:c r="L119" s="1"/>
      <x:c r="M119" s="1"/>
      <x:c r="N119" s="1"/>
    </x:row>
    <x:row r="120">
      <x:c r="A120" s="1"/>
      <x:c r="B120" s="5"/>
      <x:c r="C120" s="1"/>
      <x:c r="D120" s="1"/>
      <x:c r="E120" s="1"/>
      <x:c r="F120" s="6"/>
      <x:c r="G120" s="6"/>
      <x:c r="H120" s="1"/>
      <x:c r="I120" s="5"/>
      <x:c r="J120" s="1"/>
      <x:c r="K120" s="6"/>
      <x:c r="L120" s="1"/>
      <x:c r="M120" s="1"/>
      <x:c r="N120" s="1"/>
    </x:row>
    <x:row r="121">
      <x:c r="A121" s="1"/>
      <x:c r="B121" s="5"/>
      <x:c r="C121" s="1"/>
      <x:c r="D121" s="1"/>
      <x:c r="E121" s="1"/>
      <x:c r="F121" s="6"/>
      <x:c r="G121" s="6"/>
      <x:c r="H121" s="1"/>
      <x:c r="I121" s="5"/>
      <x:c r="J121" s="1"/>
      <x:c r="K121" s="6"/>
      <x:c r="L121" s="1"/>
      <x:c r="M121" s="1"/>
      <x:c r="N121" s="1"/>
    </x:row>
    <x:row r="122">
      <x:c r="A122" s="1"/>
      <x:c r="B122" s="5"/>
      <x:c r="C122" s="1"/>
      <x:c r="D122" s="1"/>
      <x:c r="E122" s="1"/>
      <x:c r="F122" s="6"/>
      <x:c r="G122" s="6"/>
      <x:c r="H122" s="1"/>
      <x:c r="I122" s="5"/>
      <x:c r="J122" s="1"/>
      <x:c r="K122" s="6"/>
      <x:c r="L122" s="1"/>
      <x:c r="M122" s="1"/>
      <x:c r="N122" s="1"/>
    </x:row>
    <x:row r="123">
      <x:c r="A123" s="1"/>
      <x:c r="B123" s="5"/>
      <x:c r="C123" s="1"/>
      <x:c r="D123" s="1"/>
      <x:c r="E123" s="1"/>
      <x:c r="F123" s="6"/>
      <x:c r="G123" s="6"/>
      <x:c r="H123" s="1"/>
      <x:c r="I123" s="5"/>
      <x:c r="J123" s="1"/>
      <x:c r="K123" s="6"/>
      <x:c r="L123" s="1"/>
      <x:c r="M123" s="1"/>
      <x:c r="N123" s="1"/>
    </x:row>
    <x:row r="124">
      <x:c r="A124" s="1"/>
      <x:c r="B124" s="5"/>
      <x:c r="C124" s="1"/>
      <x:c r="D124" s="1"/>
      <x:c r="E124" s="1"/>
      <x:c r="F124" s="6"/>
      <x:c r="G124" s="6"/>
      <x:c r="H124" s="1"/>
      <x:c r="I124" s="5"/>
      <x:c r="J124" s="1"/>
      <x:c r="K124" s="6"/>
      <x:c r="L124" s="1"/>
      <x:c r="M124" s="1"/>
      <x:c r="N124" s="1"/>
    </x:row>
    <x:row r="125">
      <x:c r="A125" s="1"/>
      <x:c r="B125" s="5"/>
      <x:c r="C125" s="1"/>
      <x:c r="D125" s="1"/>
      <x:c r="E125" s="1"/>
      <x:c r="F125" s="6"/>
      <x:c r="G125" s="6"/>
      <x:c r="H125" s="1"/>
      <x:c r="I125" s="5"/>
      <x:c r="J125" s="1"/>
      <x:c r="K125" s="6"/>
      <x:c r="L125" s="1"/>
      <x:c r="M125" s="1"/>
      <x:c r="N125" s="1"/>
    </x:row>
    <x:row r="126">
      <x:c r="A126" s="1"/>
      <x:c r="B126" s="5"/>
      <x:c r="C126" s="1"/>
      <x:c r="D126" s="1"/>
      <x:c r="E126" s="1"/>
      <x:c r="F126" s="6"/>
      <x:c r="G126" s="6"/>
      <x:c r="H126" s="1"/>
      <x:c r="I126" s="5"/>
      <x:c r="J126" s="1"/>
      <x:c r="K126" s="6"/>
      <x:c r="L126" s="1"/>
      <x:c r="M126" s="1"/>
      <x:c r="N126" s="1"/>
    </x:row>
    <x:row r="127">
      <x:c r="A127" s="1"/>
      <x:c r="B127" s="5"/>
      <x:c r="C127" s="1"/>
      <x:c r="D127" s="1"/>
      <x:c r="E127" s="1"/>
      <x:c r="F127" s="6"/>
      <x:c r="G127" s="6"/>
      <x:c r="H127" s="1"/>
      <x:c r="I127" s="5"/>
      <x:c r="J127" s="1"/>
      <x:c r="K127" s="6"/>
      <x:c r="L127" s="1"/>
      <x:c r="M127" s="1"/>
      <x:c r="N127" s="1"/>
    </x:row>
    <x:row r="128">
      <x:c r="A128" s="1"/>
      <x:c r="B128" s="5"/>
      <x:c r="C128" s="1"/>
      <x:c r="D128" s="1"/>
      <x:c r="E128" s="1"/>
      <x:c r="F128" s="6"/>
      <x:c r="G128" s="6"/>
      <x:c r="H128" s="1"/>
      <x:c r="I128" s="5"/>
      <x:c r="J128" s="1"/>
      <x:c r="K128" s="6"/>
      <x:c r="L128" s="1"/>
      <x:c r="M128" s="1"/>
      <x:c r="N128" s="1"/>
    </x:row>
    <x:row r="129">
      <x:c r="A129" s="1"/>
      <x:c r="B129" s="5"/>
      <x:c r="C129" s="1"/>
      <x:c r="D129" s="1"/>
      <x:c r="E129" s="1"/>
      <x:c r="F129" s="6"/>
      <x:c r="G129" s="6"/>
      <x:c r="H129" s="1"/>
      <x:c r="I129" s="5"/>
      <x:c r="J129" s="1"/>
      <x:c r="K129" s="6"/>
      <x:c r="L129" s="1"/>
      <x:c r="M129" s="1"/>
      <x:c r="N129" s="1"/>
    </x:row>
    <x:row r="130">
      <x:c r="A130" s="1"/>
      <x:c r="B130" s="5"/>
      <x:c r="C130" s="1"/>
      <x:c r="D130" s="1"/>
      <x:c r="E130" s="1"/>
      <x:c r="F130" s="6"/>
      <x:c r="G130" s="6"/>
      <x:c r="H130" s="1"/>
      <x:c r="I130" s="5"/>
      <x:c r="J130" s="1"/>
      <x:c r="K130" s="6"/>
      <x:c r="L130" s="1"/>
      <x:c r="M130" s="1"/>
      <x:c r="N130" s="1"/>
    </x:row>
    <x:row r="131">
      <x:c r="A131" s="1"/>
      <x:c r="B131" s="5"/>
      <x:c r="C131" s="1"/>
      <x:c r="D131" s="1"/>
      <x:c r="E131" s="1"/>
      <x:c r="F131" s="6"/>
      <x:c r="G131" s="6"/>
      <x:c r="H131" s="1"/>
      <x:c r="I131" s="5"/>
      <x:c r="J131" s="1"/>
      <x:c r="K131" s="6"/>
      <x:c r="L131" s="1"/>
      <x:c r="M131" s="1"/>
      <x:c r="N131" s="1"/>
    </x:row>
    <x:row r="132">
      <x:c r="A132" s="1"/>
      <x:c r="B132" s="5"/>
      <x:c r="C132" s="1"/>
      <x:c r="D132" s="1"/>
      <x:c r="E132" s="1"/>
      <x:c r="F132" s="6"/>
      <x:c r="G132" s="6"/>
      <x:c r="H132" s="1"/>
      <x:c r="I132" s="5"/>
      <x:c r="J132" s="1"/>
      <x:c r="K132" s="6"/>
      <x:c r="L132" s="1"/>
      <x:c r="M132" s="1"/>
      <x:c r="N132" s="1"/>
    </x:row>
    <x:row r="133">
      <x:c r="A133" s="1"/>
      <x:c r="B133" s="5"/>
      <x:c r="C133" s="1"/>
      <x:c r="D133" s="1"/>
      <x:c r="E133" s="1"/>
      <x:c r="F133" s="6"/>
      <x:c r="G133" s="6"/>
      <x:c r="H133" s="1"/>
      <x:c r="I133" s="5"/>
      <x:c r="J133" s="1"/>
      <x:c r="K133" s="6"/>
      <x:c r="L133" s="1"/>
      <x:c r="M133" s="1"/>
      <x:c r="N133" s="1"/>
    </x:row>
    <x:row r="134">
      <x:c r="A134" s="1"/>
      <x:c r="B134" s="5"/>
      <x:c r="C134" s="1"/>
      <x:c r="D134" s="1"/>
      <x:c r="E134" s="1"/>
      <x:c r="F134" s="6"/>
      <x:c r="G134" s="6"/>
      <x:c r="H134" s="1"/>
      <x:c r="I134" s="5"/>
      <x:c r="J134" s="1"/>
      <x:c r="K134" s="6"/>
      <x:c r="L134" s="1"/>
      <x:c r="M134" s="1"/>
      <x:c r="N134" s="1"/>
    </x:row>
    <x:row r="135">
      <x:c r="A135" s="1"/>
      <x:c r="B135" s="5"/>
      <x:c r="C135" s="1"/>
      <x:c r="D135" s="1"/>
      <x:c r="E135" s="1"/>
      <x:c r="F135" s="6"/>
      <x:c r="G135" s="6"/>
      <x:c r="H135" s="1"/>
      <x:c r="I135" s="5"/>
      <x:c r="J135" s="1"/>
      <x:c r="K135" s="6"/>
      <x:c r="L135" s="1"/>
      <x:c r="M135" s="1"/>
      <x:c r="N135" s="1"/>
    </x:row>
    <x:row r="136">
      <x:c r="A136" s="1"/>
      <x:c r="B136" s="5"/>
      <x:c r="C136" s="1"/>
      <x:c r="D136" s="1"/>
      <x:c r="E136" s="1"/>
      <x:c r="F136" s="6"/>
      <x:c r="G136" s="6"/>
      <x:c r="H136" s="1"/>
      <x:c r="I136" s="5"/>
      <x:c r="J136" s="1"/>
      <x:c r="K136" s="6"/>
      <x:c r="L136" s="1"/>
      <x:c r="M136" s="1"/>
      <x:c r="N136" s="1"/>
    </x:row>
    <x:row r="137">
      <x:c r="A137" s="1"/>
      <x:c r="B137" s="5"/>
      <x:c r="C137" s="1"/>
      <x:c r="D137" s="1"/>
      <x:c r="E137" s="1"/>
      <x:c r="F137" s="6"/>
      <x:c r="G137" s="6"/>
      <x:c r="H137" s="1"/>
      <x:c r="I137" s="5"/>
      <x:c r="J137" s="1"/>
      <x:c r="K137" s="6"/>
      <x:c r="L137" s="1"/>
      <x:c r="M137" s="1"/>
      <x:c r="N137" s="1"/>
    </x:row>
    <x:row r="138">
      <x:c r="A138" s="1"/>
      <x:c r="B138" s="5"/>
      <x:c r="C138" s="1"/>
      <x:c r="D138" s="1"/>
      <x:c r="E138" s="1"/>
      <x:c r="F138" s="6"/>
      <x:c r="G138" s="6"/>
      <x:c r="H138" s="1"/>
      <x:c r="I138" s="5"/>
      <x:c r="J138" s="1"/>
      <x:c r="K138" s="6"/>
      <x:c r="L138" s="1"/>
      <x:c r="M138" s="1"/>
      <x:c r="N138" s="1"/>
    </x:row>
    <x:row r="139">
      <x:c r="A139" s="1"/>
      <x:c r="B139" s="5"/>
      <x:c r="C139" s="1"/>
      <x:c r="D139" s="1"/>
      <x:c r="E139" s="1"/>
      <x:c r="F139" s="6"/>
      <x:c r="G139" s="6"/>
      <x:c r="H139" s="1"/>
      <x:c r="I139" s="5"/>
      <x:c r="J139" s="1"/>
      <x:c r="K139" s="6"/>
      <x:c r="L139" s="1"/>
      <x:c r="M139" s="1"/>
      <x:c r="N139" s="1"/>
    </x:row>
    <x:row r="140">
      <x:c r="A140" s="1"/>
      <x:c r="B140" s="5"/>
      <x:c r="C140" s="1"/>
      <x:c r="D140" s="1"/>
      <x:c r="E140" s="1"/>
      <x:c r="F140" s="6"/>
      <x:c r="G140" s="6"/>
      <x:c r="H140" s="1"/>
      <x:c r="I140" s="5"/>
      <x:c r="J140" s="1"/>
      <x:c r="K140" s="6"/>
      <x:c r="L140" s="1"/>
      <x:c r="M140" s="1"/>
      <x:c r="N140" s="1"/>
    </x:row>
    <x:row r="141">
      <x:c r="A141" s="1"/>
      <x:c r="B141" s="5"/>
      <x:c r="C141" s="1"/>
      <x:c r="D141" s="1"/>
      <x:c r="E141" s="1"/>
      <x:c r="F141" s="6"/>
      <x:c r="G141" s="6"/>
      <x:c r="H141" s="1"/>
      <x:c r="I141" s="5"/>
      <x:c r="J141" s="1"/>
      <x:c r="K141" s="6"/>
      <x:c r="L141" s="1"/>
      <x:c r="M141" s="1"/>
      <x:c r="N141" s="1"/>
    </x:row>
    <x:row r="142">
      <x:c r="A142" s="1"/>
      <x:c r="B142" s="5"/>
      <x:c r="C142" s="1"/>
      <x:c r="D142" s="1"/>
      <x:c r="E142" s="1"/>
      <x:c r="F142" s="6"/>
      <x:c r="G142" s="6"/>
      <x:c r="H142" s="1"/>
      <x:c r="I142" s="5"/>
      <x:c r="J142" s="1"/>
      <x:c r="K142" s="6"/>
      <x:c r="L142" s="1"/>
      <x:c r="M142" s="1"/>
      <x:c r="N142" s="1"/>
    </x:row>
    <x:row r="143">
      <x:c r="A143" s="1"/>
      <x:c r="B143" s="5"/>
      <x:c r="C143" s="1"/>
      <x:c r="D143" s="1"/>
      <x:c r="E143" s="1"/>
      <x:c r="F143" s="6"/>
      <x:c r="G143" s="6"/>
      <x:c r="H143" s="1"/>
      <x:c r="I143" s="5"/>
      <x:c r="J143" s="1"/>
      <x:c r="K143" s="6"/>
      <x:c r="L143" s="1"/>
      <x:c r="M143" s="1"/>
      <x:c r="N143" s="1"/>
    </x:row>
    <x:row r="144">
      <x:c r="A144" s="1"/>
      <x:c r="B144" s="5"/>
      <x:c r="C144" s="1"/>
      <x:c r="D144" s="1"/>
      <x:c r="E144" s="1"/>
      <x:c r="F144" s="6"/>
      <x:c r="G144" s="6"/>
      <x:c r="H144" s="1"/>
      <x:c r="I144" s="5"/>
      <x:c r="J144" s="1"/>
      <x:c r="K144" s="6"/>
      <x:c r="L144" s="1"/>
      <x:c r="M144" s="1"/>
      <x:c r="N144" s="1"/>
    </x:row>
    <x:row r="145">
      <x:c r="A145" s="1"/>
      <x:c r="B145" s="5"/>
      <x:c r="C145" s="1"/>
      <x:c r="D145" s="1"/>
      <x:c r="E145" s="1"/>
      <x:c r="F145" s="6"/>
      <x:c r="G145" s="6"/>
      <x:c r="H145" s="1"/>
      <x:c r="I145" s="5"/>
      <x:c r="J145" s="1"/>
      <x:c r="K145" s="6"/>
      <x:c r="L145" s="1"/>
      <x:c r="M145" s="1"/>
      <x:c r="N145" s="1"/>
    </x:row>
    <x:row r="146">
      <x:c r="A146" s="1"/>
      <x:c r="B146" s="5"/>
      <x:c r="C146" s="1"/>
      <x:c r="D146" s="1"/>
      <x:c r="E146" s="1"/>
      <x:c r="F146" s="6"/>
      <x:c r="G146" s="6"/>
      <x:c r="H146" s="1"/>
      <x:c r="I146" s="5"/>
      <x:c r="J146" s="1"/>
      <x:c r="K146" s="6"/>
      <x:c r="L146" s="1"/>
      <x:c r="M146" s="1"/>
      <x:c r="N146" s="1"/>
    </x:row>
    <x:row r="147">
      <x:c r="A147" s="1"/>
      <x:c r="B147" s="5"/>
      <x:c r="C147" s="1"/>
      <x:c r="D147" s="1"/>
      <x:c r="E147" s="1"/>
      <x:c r="F147" s="6"/>
      <x:c r="G147" s="6"/>
      <x:c r="H147" s="1"/>
      <x:c r="I147" s="5"/>
      <x:c r="J147" s="1"/>
      <x:c r="K147" s="6"/>
      <x:c r="L147" s="1"/>
      <x:c r="M147" s="1"/>
      <x:c r="N147" s="1"/>
    </x:row>
    <x:row r="148">
      <x:c r="A148" s="1"/>
      <x:c r="B148" s="5"/>
      <x:c r="C148" s="1"/>
      <x:c r="D148" s="1"/>
      <x:c r="E148" s="1"/>
      <x:c r="F148" s="6"/>
      <x:c r="G148" s="6"/>
      <x:c r="H148" s="1"/>
      <x:c r="I148" s="5"/>
      <x:c r="J148" s="1"/>
      <x:c r="K148" s="6"/>
      <x:c r="L148" s="1"/>
      <x:c r="M148" s="1"/>
      <x:c r="N148" s="1"/>
    </x:row>
    <x:row r="149">
      <x:c r="A149" s="1"/>
      <x:c r="B149" s="5"/>
      <x:c r="C149" s="1"/>
      <x:c r="D149" s="1"/>
      <x:c r="E149" s="1"/>
      <x:c r="F149" s="6"/>
      <x:c r="G149" s="6"/>
      <x:c r="H149" s="1"/>
      <x:c r="I149" s="5"/>
      <x:c r="J149" s="1"/>
      <x:c r="K149" s="6"/>
      <x:c r="L149" s="1"/>
      <x:c r="M149" s="1"/>
      <x:c r="N149" s="1"/>
    </x:row>
    <x:row r="150">
      <x:c r="A150" s="1"/>
      <x:c r="B150" s="5"/>
      <x:c r="C150" s="1"/>
      <x:c r="D150" s="1"/>
      <x:c r="E150" s="1"/>
      <x:c r="F150" s="6"/>
      <x:c r="G150" s="6"/>
      <x:c r="H150" s="1"/>
      <x:c r="I150" s="5"/>
      <x:c r="J150" s="1"/>
      <x:c r="K150" s="6"/>
      <x:c r="L150" s="1"/>
      <x:c r="M150" s="1"/>
      <x:c r="N150" s="1"/>
    </x:row>
    <x:row r="151">
      <x:c r="A151" s="1"/>
      <x:c r="B151" s="5"/>
      <x:c r="C151" s="1"/>
      <x:c r="D151" s="1"/>
      <x:c r="E151" s="1"/>
      <x:c r="F151" s="6"/>
      <x:c r="G151" s="6"/>
      <x:c r="H151" s="1"/>
      <x:c r="I151" s="5"/>
      <x:c r="J151" s="1"/>
      <x:c r="K151" s="6"/>
      <x:c r="L151" s="1"/>
      <x:c r="M151" s="1"/>
      <x:c r="N151" s="1"/>
    </x:row>
    <x:row r="152">
      <x:c r="A152" s="1"/>
      <x:c r="B152" s="5"/>
      <x:c r="C152" s="1"/>
      <x:c r="D152" s="1"/>
      <x:c r="E152" s="1"/>
      <x:c r="F152" s="6"/>
      <x:c r="G152" s="6"/>
      <x:c r="H152" s="1"/>
      <x:c r="I152" s="5"/>
      <x:c r="J152" s="1"/>
      <x:c r="K152" s="6"/>
      <x:c r="L152" s="1"/>
      <x:c r="M152" s="1"/>
      <x:c r="N152" s="1"/>
    </x:row>
    <x:row r="153">
      <x:c r="A153" s="1"/>
      <x:c r="B153" s="5"/>
      <x:c r="C153" s="1"/>
      <x:c r="D153" s="1"/>
      <x:c r="E153" s="1"/>
      <x:c r="F153" s="6"/>
      <x:c r="G153" s="6"/>
      <x:c r="H153" s="1"/>
      <x:c r="I153" s="5"/>
      <x:c r="J153" s="1"/>
      <x:c r="K153" s="6"/>
      <x:c r="L153" s="1"/>
      <x:c r="M153" s="1"/>
      <x:c r="N153" s="1"/>
    </x:row>
    <x:row r="154">
      <x:c r="A154" s="1"/>
      <x:c r="B154" s="5"/>
      <x:c r="C154" s="1"/>
      <x:c r="D154" s="1"/>
      <x:c r="E154" s="1"/>
      <x:c r="F154" s="6"/>
      <x:c r="G154" s="6"/>
      <x:c r="H154" s="1"/>
      <x:c r="I154" s="5"/>
      <x:c r="J154" s="1"/>
      <x:c r="K154" s="6"/>
      <x:c r="L154" s="1"/>
      <x:c r="M154" s="1"/>
      <x:c r="N154" s="1"/>
    </x:row>
    <x:row r="155">
      <x:c r="A155" s="1"/>
      <x:c r="B155" s="5"/>
      <x:c r="C155" s="1"/>
      <x:c r="D155" s="1"/>
      <x:c r="E155" s="1"/>
      <x:c r="F155" s="6"/>
      <x:c r="G155" s="6"/>
      <x:c r="H155" s="1"/>
      <x:c r="I155" s="5"/>
      <x:c r="J155" s="1"/>
      <x:c r="K155" s="6"/>
      <x:c r="L155" s="1"/>
      <x:c r="M155" s="1"/>
      <x:c r="N155" s="1"/>
    </x:row>
    <x:row r="156">
      <x:c r="A156" s="1"/>
      <x:c r="B156" s="5"/>
      <x:c r="C156" s="1"/>
      <x:c r="D156" s="1"/>
      <x:c r="E156" s="1"/>
      <x:c r="F156" s="6"/>
      <x:c r="G156" s="6"/>
      <x:c r="H156" s="1"/>
      <x:c r="I156" s="5"/>
      <x:c r="J156" s="1"/>
      <x:c r="K156" s="6"/>
      <x:c r="L156" s="1"/>
      <x:c r="M156" s="1"/>
      <x:c r="N156" s="1"/>
    </x:row>
    <x:row r="157">
      <x:c r="A157" s="1"/>
      <x:c r="B157" s="5"/>
      <x:c r="C157" s="1"/>
      <x:c r="D157" s="1"/>
      <x:c r="E157" s="1"/>
      <x:c r="F157" s="6"/>
      <x:c r="G157" s="6"/>
      <x:c r="H157" s="1"/>
      <x:c r="I157" s="5"/>
      <x:c r="J157" s="1"/>
      <x:c r="K157" s="6"/>
      <x:c r="L157" s="1"/>
      <x:c r="M157" s="1"/>
      <x:c r="N157" s="1"/>
    </x:row>
    <x:row r="158">
      <x:c r="A158" s="1"/>
      <x:c r="B158" s="5"/>
      <x:c r="C158" s="1"/>
      <x:c r="D158" s="1"/>
      <x:c r="E158" s="1"/>
      <x:c r="F158" s="6"/>
      <x:c r="G158" s="6"/>
      <x:c r="H158" s="1"/>
      <x:c r="I158" s="5"/>
      <x:c r="J158" s="1"/>
      <x:c r="K158" s="6"/>
      <x:c r="L158" s="1"/>
      <x:c r="M158" s="1"/>
      <x:c r="N158" s="1"/>
    </x:row>
    <x:row r="159">
      <x:c r="A159" s="1"/>
      <x:c r="B159" s="5"/>
      <x:c r="C159" s="1"/>
      <x:c r="D159" s="1"/>
      <x:c r="E159" s="1"/>
      <x:c r="F159" s="6"/>
      <x:c r="G159" s="6"/>
      <x:c r="H159" s="1"/>
      <x:c r="I159" s="5"/>
      <x:c r="J159" s="1"/>
      <x:c r="K159" s="6"/>
      <x:c r="L159" s="1"/>
      <x:c r="M159" s="1"/>
      <x:c r="N159" s="1"/>
    </x:row>
    <x:row r="160">
      <x:c r="A160" s="1"/>
      <x:c r="B160" s="5"/>
      <x:c r="C160" s="1"/>
      <x:c r="D160" s="1"/>
      <x:c r="E160" s="1"/>
      <x:c r="F160" s="6"/>
      <x:c r="G160" s="6"/>
      <x:c r="H160" s="1"/>
      <x:c r="I160" s="5"/>
      <x:c r="J160" s="1"/>
      <x:c r="K160" s="6"/>
      <x:c r="L160" s="1"/>
      <x:c r="M160" s="1"/>
      <x:c r="N160" s="1"/>
    </x:row>
    <x:row r="161">
      <x:c r="A161" s="1"/>
      <x:c r="B161" s="5"/>
      <x:c r="C161" s="1"/>
      <x:c r="D161" s="1"/>
      <x:c r="E161" s="1"/>
      <x:c r="F161" s="6"/>
      <x:c r="G161" s="6"/>
      <x:c r="H161" s="1"/>
      <x:c r="I161" s="5"/>
      <x:c r="J161" s="1"/>
      <x:c r="K161" s="6"/>
      <x:c r="L161" s="1"/>
      <x:c r="M161" s="1"/>
      <x:c r="N161" s="1"/>
    </x:row>
    <x:row r="162">
      <x:c r="A162" s="1"/>
      <x:c r="B162" s="5"/>
      <x:c r="C162" s="1"/>
      <x:c r="D162" s="1"/>
      <x:c r="E162" s="1"/>
      <x:c r="F162" s="6"/>
      <x:c r="G162" s="6"/>
      <x:c r="H162" s="1"/>
      <x:c r="I162" s="5"/>
      <x:c r="J162" s="1"/>
      <x:c r="K162" s="6"/>
      <x:c r="L162" s="1"/>
      <x:c r="M162" s="1"/>
      <x:c r="N162" s="1"/>
    </x:row>
    <x:row r="163">
      <x:c r="A163" s="1"/>
      <x:c r="B163" s="5"/>
      <x:c r="C163" s="1"/>
      <x:c r="D163" s="1"/>
      <x:c r="E163" s="1"/>
      <x:c r="F163" s="6"/>
      <x:c r="G163" s="6"/>
      <x:c r="H163" s="1"/>
      <x:c r="I163" s="5"/>
      <x:c r="J163" s="1"/>
      <x:c r="K163" s="6"/>
      <x:c r="L163" s="1"/>
      <x:c r="M163" s="1"/>
      <x:c r="N163" s="1"/>
    </x:row>
    <x:row r="164">
      <x:c r="A164" s="1"/>
      <x:c r="B164" s="5"/>
      <x:c r="C164" s="1"/>
      <x:c r="D164" s="1"/>
      <x:c r="E164" s="1"/>
      <x:c r="F164" s="6"/>
      <x:c r="G164" s="6"/>
      <x:c r="H164" s="1"/>
      <x:c r="I164" s="5"/>
      <x:c r="J164" s="1"/>
      <x:c r="K164" s="6"/>
      <x:c r="L164" s="1"/>
      <x:c r="M164" s="1"/>
      <x:c r="N164" s="1"/>
    </x:row>
    <x:row r="165">
      <x:c r="A165" s="1"/>
      <x:c r="B165" s="5"/>
      <x:c r="C165" s="1"/>
      <x:c r="D165" s="1"/>
      <x:c r="E165" s="1"/>
      <x:c r="F165" s="6"/>
      <x:c r="G165" s="6"/>
      <x:c r="H165" s="1"/>
      <x:c r="I165" s="5"/>
      <x:c r="J165" s="1"/>
      <x:c r="K165" s="6"/>
      <x:c r="L165" s="1"/>
      <x:c r="M165" s="1"/>
      <x:c r="N165" s="1"/>
    </x:row>
    <x:row r="166">
      <x:c r="A166" s="1"/>
      <x:c r="B166" s="5"/>
      <x:c r="C166" s="1"/>
      <x:c r="D166" s="1"/>
      <x:c r="E166" s="1"/>
      <x:c r="F166" s="6"/>
      <x:c r="G166" s="6"/>
      <x:c r="H166" s="1"/>
      <x:c r="I166" s="5"/>
      <x:c r="J166" s="1"/>
      <x:c r="K166" s="6"/>
      <x:c r="L166" s="1"/>
      <x:c r="M166" s="1"/>
      <x:c r="N166" s="1"/>
    </x:row>
    <x:row r="167">
      <x:c r="A167" s="1"/>
      <x:c r="B167" s="5"/>
      <x:c r="C167" s="1"/>
      <x:c r="D167" s="1"/>
      <x:c r="E167" s="1"/>
      <x:c r="F167" s="6"/>
      <x:c r="G167" s="6"/>
      <x:c r="H167" s="1"/>
      <x:c r="I167" s="5"/>
      <x:c r="J167" s="1"/>
      <x:c r="K167" s="6"/>
      <x:c r="L167" s="1"/>
      <x:c r="M167" s="1"/>
      <x:c r="N167" s="1"/>
    </x:row>
    <x:row r="168">
      <x:c r="A168" s="1"/>
      <x:c r="B168" s="5"/>
      <x:c r="C168" s="1"/>
      <x:c r="D168" s="1"/>
      <x:c r="E168" s="1"/>
      <x:c r="F168" s="6"/>
      <x:c r="G168" s="6"/>
      <x:c r="H168" s="1"/>
      <x:c r="I168" s="5"/>
      <x:c r="J168" s="1"/>
      <x:c r="K168" s="6"/>
      <x:c r="L168" s="1"/>
      <x:c r="M168" s="1"/>
      <x:c r="N168" s="1"/>
    </x:row>
    <x:row r="169">
      <x:c r="A169" s="1"/>
      <x:c r="B169" s="5"/>
      <x:c r="C169" s="1"/>
      <x:c r="D169" s="1"/>
      <x:c r="E169" s="1"/>
      <x:c r="F169" s="6"/>
      <x:c r="G169" s="6"/>
      <x:c r="H169" s="1"/>
      <x:c r="I169" s="5"/>
      <x:c r="J169" s="1"/>
      <x:c r="K169" s="6"/>
      <x:c r="L169" s="1"/>
      <x:c r="M169" s="1"/>
      <x:c r="N169" s="1"/>
    </x:row>
    <x:row r="170">
      <x:c r="A170" s="1"/>
      <x:c r="B170" s="5"/>
      <x:c r="C170" s="1"/>
      <x:c r="D170" s="1"/>
      <x:c r="E170" s="1"/>
      <x:c r="F170" s="6"/>
      <x:c r="G170" s="6"/>
      <x:c r="H170" s="1"/>
      <x:c r="I170" s="5"/>
      <x:c r="J170" s="1"/>
      <x:c r="K170" s="6"/>
      <x:c r="L170" s="1"/>
      <x:c r="M170" s="1"/>
      <x:c r="N170" s="1"/>
    </x:row>
    <x:row r="171">
      <x:c r="A171" s="1"/>
      <x:c r="B171" s="5"/>
      <x:c r="C171" s="1"/>
      <x:c r="D171" s="1"/>
      <x:c r="E171" s="1"/>
      <x:c r="F171" s="6"/>
      <x:c r="G171" s="6"/>
      <x:c r="H171" s="1"/>
      <x:c r="I171" s="5"/>
      <x:c r="J171" s="1"/>
      <x:c r="K171" s="6"/>
      <x:c r="L171" s="1"/>
      <x:c r="M171" s="1"/>
      <x:c r="N171" s="1"/>
    </x:row>
    <x:row r="172">
      <x:c r="A172" s="1"/>
      <x:c r="B172" s="5"/>
      <x:c r="C172" s="1"/>
      <x:c r="D172" s="1"/>
      <x:c r="E172" s="1"/>
      <x:c r="F172" s="6"/>
      <x:c r="G172" s="6"/>
      <x:c r="H172" s="1"/>
      <x:c r="I172" s="5"/>
      <x:c r="J172" s="1"/>
      <x:c r="K172" s="6"/>
      <x:c r="L172" s="1"/>
      <x:c r="M172" s="1"/>
      <x:c r="N172" s="1"/>
    </x:row>
    <x:row r="173">
      <x:c r="A173" s="1"/>
      <x:c r="B173" s="5"/>
      <x:c r="C173" s="1"/>
      <x:c r="D173" s="1"/>
      <x:c r="E173" s="1"/>
      <x:c r="F173" s="6"/>
      <x:c r="G173" s="6"/>
      <x:c r="H173" s="1"/>
      <x:c r="I173" s="5"/>
      <x:c r="J173" s="1"/>
      <x:c r="K173" s="6"/>
      <x:c r="L173" s="1"/>
      <x:c r="M173" s="1"/>
      <x:c r="N173" s="1"/>
    </x:row>
    <x:row r="174">
      <x:c r="A174" s="1"/>
      <x:c r="B174" s="5"/>
      <x:c r="C174" s="1"/>
      <x:c r="D174" s="1"/>
      <x:c r="E174" s="1"/>
      <x:c r="F174" s="6"/>
      <x:c r="G174" s="6"/>
      <x:c r="H174" s="1"/>
      <x:c r="I174" s="5"/>
      <x:c r="J174" s="1"/>
      <x:c r="K174" s="6"/>
      <x:c r="L174" s="1"/>
      <x:c r="M174" s="1"/>
      <x:c r="N174" s="1"/>
    </x:row>
    <x:row r="175">
      <x:c r="A175" s="1"/>
      <x:c r="B175" s="5"/>
      <x:c r="C175" s="1"/>
      <x:c r="D175" s="1"/>
      <x:c r="E175" s="1"/>
      <x:c r="F175" s="6"/>
      <x:c r="G175" s="6"/>
      <x:c r="H175" s="1"/>
      <x:c r="I175" s="5"/>
      <x:c r="J175" s="1"/>
      <x:c r="K175" s="6"/>
      <x:c r="L175" s="1"/>
      <x:c r="M175" s="1"/>
      <x:c r="N175" s="1"/>
    </x:row>
    <x:row r="176">
      <x:c r="A176" s="1"/>
      <x:c r="B176" s="5"/>
      <x:c r="C176" s="1"/>
      <x:c r="D176" s="1"/>
      <x:c r="E176" s="1"/>
      <x:c r="F176" s="6"/>
      <x:c r="G176" s="6"/>
      <x:c r="H176" s="1"/>
      <x:c r="I176" s="5"/>
      <x:c r="J176" s="1"/>
      <x:c r="K176" s="6"/>
      <x:c r="L176" s="1"/>
      <x:c r="M176" s="1"/>
      <x:c r="N176" s="1"/>
    </x:row>
    <x:row r="177">
      <x:c r="A177" s="1"/>
      <x:c r="B177" s="5"/>
      <x:c r="C177" s="1"/>
      <x:c r="D177" s="1"/>
      <x:c r="E177" s="1"/>
      <x:c r="F177" s="6"/>
      <x:c r="G177" s="6"/>
      <x:c r="H177" s="1"/>
      <x:c r="I177" s="5"/>
      <x:c r="J177" s="1"/>
      <x:c r="K177" s="6"/>
      <x:c r="L177" s="1"/>
      <x:c r="M177" s="1"/>
      <x:c r="N177" s="1"/>
    </x:row>
    <x:row r="178">
      <x:c r="A178" s="1"/>
      <x:c r="B178" s="5"/>
      <x:c r="C178" s="1"/>
      <x:c r="D178" s="1"/>
      <x:c r="E178" s="1"/>
      <x:c r="F178" s="6"/>
      <x:c r="G178" s="6"/>
      <x:c r="H178" s="1"/>
      <x:c r="I178" s="5"/>
      <x:c r="J178" s="1"/>
      <x:c r="K178" s="6"/>
      <x:c r="L178" s="1"/>
      <x:c r="M178" s="1"/>
      <x:c r="N178" s="1"/>
    </x:row>
    <x:row r="179">
      <x:c r="A179" s="1"/>
      <x:c r="B179" s="5"/>
      <x:c r="C179" s="1"/>
      <x:c r="D179" s="1"/>
      <x:c r="E179" s="1"/>
      <x:c r="F179" s="6"/>
      <x:c r="G179" s="6"/>
      <x:c r="H179" s="1"/>
      <x:c r="I179" s="5"/>
      <x:c r="J179" s="1"/>
      <x:c r="K179" s="6"/>
      <x:c r="L179" s="1"/>
      <x:c r="M179" s="1"/>
      <x:c r="N179" s="1"/>
    </x:row>
    <x:row r="180">
      <x:c r="A180" s="1"/>
      <x:c r="B180" s="5"/>
      <x:c r="C180" s="1"/>
      <x:c r="D180" s="1"/>
      <x:c r="E180" s="1"/>
      <x:c r="F180" s="6"/>
      <x:c r="G180" s="6"/>
      <x:c r="H180" s="1"/>
      <x:c r="I180" s="5"/>
      <x:c r="J180" s="1"/>
      <x:c r="K180" s="6"/>
      <x:c r="L180" s="1"/>
      <x:c r="M180" s="1"/>
      <x:c r="N180" s="1"/>
    </x:row>
    <x:row r="181">
      <x:c r="A181" s="1"/>
      <x:c r="B181" s="5"/>
      <x:c r="C181" s="1"/>
      <x:c r="D181" s="1"/>
      <x:c r="E181" s="1"/>
      <x:c r="F181" s="6"/>
      <x:c r="G181" s="6"/>
      <x:c r="H181" s="1"/>
      <x:c r="I181" s="5"/>
      <x:c r="J181" s="1"/>
      <x:c r="K181" s="6"/>
      <x:c r="L181" s="1"/>
      <x:c r="M181" s="1"/>
      <x:c r="N181" s="1"/>
    </x:row>
    <x:row r="182">
      <x:c r="A182" s="1"/>
      <x:c r="B182" s="5"/>
      <x:c r="C182" s="1"/>
      <x:c r="D182" s="1"/>
      <x:c r="E182" s="1"/>
      <x:c r="F182" s="6"/>
      <x:c r="G182" s="6"/>
      <x:c r="H182" s="1"/>
      <x:c r="I182" s="5"/>
      <x:c r="J182" s="1"/>
      <x:c r="K182" s="6"/>
      <x:c r="L182" s="1"/>
      <x:c r="M182" s="1"/>
      <x:c r="N182" s="1"/>
    </x:row>
    <x:row r="183">
      <x:c r="A183" s="1"/>
      <x:c r="B183" s="5"/>
      <x:c r="C183" s="1"/>
      <x:c r="D183" s="1"/>
      <x:c r="E183" s="1"/>
      <x:c r="F183" s="6"/>
      <x:c r="G183" s="6"/>
      <x:c r="H183" s="1"/>
      <x:c r="I183" s="5"/>
      <x:c r="J183" s="1"/>
      <x:c r="K183" s="6"/>
      <x:c r="L183" s="1"/>
      <x:c r="M183" s="1"/>
      <x:c r="N183" s="1"/>
    </x:row>
    <x:row r="184">
      <x:c r="A184" s="1"/>
      <x:c r="B184" s="5"/>
      <x:c r="C184" s="1"/>
      <x:c r="D184" s="1"/>
      <x:c r="E184" s="1"/>
      <x:c r="F184" s="6"/>
      <x:c r="G184" s="6"/>
      <x:c r="H184" s="1"/>
      <x:c r="I184" s="5"/>
      <x:c r="J184" s="1"/>
      <x:c r="K184" s="6"/>
      <x:c r="L184" s="1"/>
      <x:c r="M184" s="1"/>
      <x:c r="N184" s="1"/>
    </x:row>
    <x:row r="185">
      <x:c r="A185" s="1"/>
      <x:c r="B185" s="5"/>
      <x:c r="C185" s="1"/>
      <x:c r="D185" s="1"/>
      <x:c r="E185" s="1"/>
      <x:c r="F185" s="6"/>
      <x:c r="G185" s="6"/>
      <x:c r="H185" s="1"/>
      <x:c r="I185" s="5"/>
      <x:c r="J185" s="1"/>
      <x:c r="K185" s="6"/>
      <x:c r="L185" s="1"/>
      <x:c r="M185" s="1"/>
      <x:c r="N185" s="1"/>
    </x:row>
    <x:row r="186">
      <x:c r="A186" s="1"/>
      <x:c r="B186" s="5"/>
      <x:c r="C186" s="1"/>
      <x:c r="D186" s="1"/>
      <x:c r="E186" s="1"/>
      <x:c r="F186" s="6"/>
      <x:c r="G186" s="6"/>
      <x:c r="H186" s="1"/>
      <x:c r="I186" s="5"/>
      <x:c r="J186" s="1"/>
      <x:c r="K186" s="6"/>
      <x:c r="L186" s="1"/>
      <x:c r="M186" s="1"/>
      <x:c r="N186" s="1"/>
    </x:row>
    <x:row r="187">
      <x:c r="A187" s="1"/>
      <x:c r="B187" s="5"/>
      <x:c r="C187" s="1"/>
      <x:c r="D187" s="1"/>
      <x:c r="E187" s="1"/>
      <x:c r="F187" s="6"/>
      <x:c r="G187" s="6"/>
      <x:c r="H187" s="1"/>
      <x:c r="I187" s="5"/>
      <x:c r="J187" s="1"/>
      <x:c r="K187" s="6"/>
      <x:c r="L187" s="1"/>
      <x:c r="M187" s="1"/>
      <x:c r="N187" s="1"/>
    </x:row>
    <x:row r="188">
      <x:c r="A188" s="1"/>
      <x:c r="B188" s="5"/>
      <x:c r="C188" s="1"/>
      <x:c r="D188" s="1"/>
      <x:c r="E188" s="1"/>
      <x:c r="F188" s="6"/>
      <x:c r="G188" s="6"/>
      <x:c r="H188" s="1"/>
      <x:c r="I188" s="5"/>
      <x:c r="J188" s="1"/>
      <x:c r="K188" s="6"/>
      <x:c r="L188" s="1"/>
      <x:c r="M188" s="1"/>
      <x:c r="N188" s="1"/>
    </x:row>
    <x:row r="189">
      <x:c r="A189" s="1"/>
      <x:c r="B189" s="5"/>
      <x:c r="C189" s="1"/>
      <x:c r="D189" s="1"/>
      <x:c r="E189" s="1"/>
      <x:c r="F189" s="6"/>
      <x:c r="G189" s="6"/>
      <x:c r="H189" s="1"/>
      <x:c r="I189" s="5"/>
      <x:c r="J189" s="1"/>
      <x:c r="K189" s="6"/>
      <x:c r="L189" s="1"/>
      <x:c r="M189" s="1"/>
      <x:c r="N189" s="1"/>
    </x:row>
    <x:row r="190">
      <x:c r="A190" s="1"/>
      <x:c r="B190" s="5"/>
      <x:c r="C190" s="1"/>
      <x:c r="D190" s="1"/>
      <x:c r="E190" s="1"/>
      <x:c r="F190" s="6"/>
      <x:c r="G190" s="6"/>
      <x:c r="H190" s="1"/>
      <x:c r="I190" s="5"/>
      <x:c r="J190" s="1"/>
      <x:c r="K190" s="6"/>
      <x:c r="L190" s="1"/>
      <x:c r="M190" s="1"/>
      <x:c r="N190" s="1"/>
    </x:row>
    <x:row r="191">
      <x:c r="A191" s="1"/>
      <x:c r="B191" s="5"/>
      <x:c r="C191" s="1"/>
      <x:c r="D191" s="1"/>
      <x:c r="E191" s="1"/>
      <x:c r="F191" s="6"/>
      <x:c r="G191" s="6"/>
      <x:c r="H191" s="1"/>
      <x:c r="I191" s="5"/>
      <x:c r="J191" s="1"/>
      <x:c r="K191" s="6"/>
      <x:c r="L191" s="1"/>
      <x:c r="M191" s="1"/>
      <x:c r="N191" s="1"/>
    </x:row>
    <x:row r="192">
      <x:c r="A192" s="1"/>
      <x:c r="B192" s="5"/>
      <x:c r="C192" s="1"/>
      <x:c r="D192" s="1"/>
      <x:c r="E192" s="1"/>
      <x:c r="F192" s="6"/>
      <x:c r="G192" s="6"/>
      <x:c r="H192" s="1"/>
      <x:c r="I192" s="5"/>
      <x:c r="J192" s="1"/>
      <x:c r="K192" s="6"/>
      <x:c r="L192" s="1"/>
      <x:c r="M192" s="1"/>
      <x:c r="N192" s="1"/>
    </x:row>
    <x:row r="193">
      <x:c r="A193" s="1"/>
      <x:c r="B193" s="5"/>
      <x:c r="C193" s="1"/>
      <x:c r="D193" s="1"/>
      <x:c r="E193" s="1"/>
      <x:c r="F193" s="6"/>
      <x:c r="G193" s="6"/>
      <x:c r="H193" s="1"/>
      <x:c r="I193" s="5"/>
      <x:c r="J193" s="1"/>
      <x:c r="K193" s="6"/>
      <x:c r="L193" s="1"/>
      <x:c r="M193" s="1"/>
      <x:c r="N193" s="1"/>
    </x:row>
    <x:row r="194">
      <x:c r="A194" s="1"/>
      <x:c r="B194" s="5"/>
      <x:c r="C194" s="1"/>
      <x:c r="D194" s="1"/>
      <x:c r="E194" s="1"/>
      <x:c r="F194" s="6"/>
      <x:c r="G194" s="6"/>
      <x:c r="H194" s="1"/>
      <x:c r="I194" s="5"/>
      <x:c r="J194" s="1"/>
      <x:c r="K194" s="6"/>
      <x:c r="L194" s="1"/>
      <x:c r="M194" s="1"/>
      <x:c r="N194" s="1"/>
    </x:row>
    <x:row r="195">
      <x:c r="A195" s="1"/>
      <x:c r="B195" s="5"/>
      <x:c r="C195" s="1"/>
      <x:c r="D195" s="1"/>
      <x:c r="E195" s="1"/>
      <x:c r="F195" s="6"/>
      <x:c r="G195" s="6"/>
      <x:c r="H195" s="1"/>
      <x:c r="I195" s="5"/>
      <x:c r="J195" s="1"/>
      <x:c r="K195" s="6"/>
      <x:c r="L195" s="1"/>
      <x:c r="M195" s="1"/>
      <x:c r="N195" s="1"/>
    </x:row>
    <x:row r="196">
      <x:c r="A196" s="1"/>
      <x:c r="B196" s="5"/>
      <x:c r="C196" s="1"/>
      <x:c r="D196" s="1"/>
      <x:c r="E196" s="1"/>
      <x:c r="F196" s="6"/>
      <x:c r="G196" s="6"/>
      <x:c r="H196" s="1"/>
      <x:c r="I196" s="5"/>
      <x:c r="J196" s="1"/>
      <x:c r="K196" s="6"/>
      <x:c r="L196" s="1"/>
      <x:c r="M196" s="1"/>
      <x:c r="N196" s="1"/>
    </x:row>
    <x:row r="197">
      <x:c r="A197" s="1"/>
      <x:c r="B197" s="5"/>
      <x:c r="C197" s="1"/>
      <x:c r="D197" s="1"/>
      <x:c r="E197" s="1"/>
      <x:c r="F197" s="6"/>
      <x:c r="G197" s="6"/>
      <x:c r="H197" s="1"/>
      <x:c r="I197" s="5"/>
      <x:c r="J197" s="1"/>
      <x:c r="K197" s="6"/>
      <x:c r="L197" s="1"/>
      <x:c r="M197" s="1"/>
      <x:c r="N197" s="1"/>
    </x:row>
    <x:row r="198">
      <x:c r="A198" s="1"/>
      <x:c r="B198" s="5"/>
      <x:c r="C198" s="1"/>
      <x:c r="D198" s="1"/>
      <x:c r="E198" s="1"/>
      <x:c r="F198" s="6"/>
      <x:c r="G198" s="6"/>
      <x:c r="H198" s="1"/>
      <x:c r="I198" s="5"/>
      <x:c r="J198" s="1"/>
      <x:c r="K198" s="6"/>
      <x:c r="L198" s="1"/>
      <x:c r="M198" s="1"/>
      <x:c r="N198" s="1"/>
    </x:row>
    <x:row r="199">
      <x:c r="A199" s="1"/>
      <x:c r="B199" s="5"/>
      <x:c r="C199" s="1"/>
      <x:c r="D199" s="1"/>
      <x:c r="E199" s="1"/>
      <x:c r="F199" s="6"/>
      <x:c r="G199" s="6"/>
      <x:c r="H199" s="1"/>
      <x:c r="I199" s="5"/>
      <x:c r="J199" s="1"/>
      <x:c r="K199" s="6"/>
      <x:c r="L199" s="1"/>
      <x:c r="M199" s="1"/>
      <x:c r="N199" s="1"/>
    </x:row>
    <x:row r="200">
      <x:c r="A200" s="1"/>
      <x:c r="B200" s="5"/>
      <x:c r="C200" s="1"/>
      <x:c r="D200" s="1"/>
      <x:c r="E200" s="1"/>
      <x:c r="F200" s="6"/>
      <x:c r="G200" s="6"/>
      <x:c r="H200" s="1"/>
      <x:c r="I200" s="5"/>
      <x:c r="J200" s="1"/>
      <x:c r="K200" s="6"/>
      <x:c r="L200" s="1"/>
      <x:c r="M200" s="1"/>
      <x:c r="N200" s="1"/>
    </x:row>
    <x:row r="201">
      <x:c r="A201" s="1"/>
      <x:c r="B201" s="5"/>
      <x:c r="C201" s="1"/>
      <x:c r="D201" s="1"/>
      <x:c r="E201" s="1"/>
      <x:c r="F201" s="6"/>
      <x:c r="G201" s="6"/>
      <x:c r="H201" s="1"/>
      <x:c r="I201" s="5"/>
      <x:c r="J201" s="1"/>
      <x:c r="K201" s="6"/>
      <x:c r="L201" s="1"/>
      <x:c r="M201" s="1"/>
      <x:c r="N201" s="1"/>
    </x:row>
  </x:sheetData>
  <x:dataValidations count="1">
    <x:dataValidation type="list" sqref="M2:M201">
      <x:formula1>"Pendiente,Confirmado,Excluido"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557675626e4ac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4" customHeight="1">
      <x:c r="A1" s="4" t="str">
        <x:v>ID origen</x:v>
      </x:c>
      <x:c r="B1" s="4" t="str">
        <x:v>Fecha bancaria</x:v>
      </x:c>
      <x:c r="C1" s="4" t="str">
        <x:v>Descripción original</x:v>
      </x:c>
      <x:c r="D1" s="4" t="str">
        <x:v>Importe con signo</x:v>
      </x:c>
      <x:c r="E1" s="4" t="str">
        <x:v>Moneda</x:v>
      </x:c>
      <x:c r="F1" s="4" t="str">
        <x:v>Cuenta alias</x:v>
      </x:c>
      <x:c r="G1" s="4" t="str">
        <x:v>Clasificación propuesta</x:v>
      </x:c>
      <x:c r="H1" s="4" t="str">
        <x:v>ID documento</x:v>
      </x:c>
      <x:c r="I1" s="4" t="str">
        <x:v>ID traspaso vinculado</x:v>
      </x:c>
      <x:c r="J1" s="4" t="str">
        <x:v>Estado revisión</x:v>
      </x:c>
      <x:c r="K1" s="4" t="str">
        <x:v>Motivo</x:v>
      </x:c>
    </x:row>
    <x:row r="2">
      <x:c r="A2" s="1"/>
      <x:c r="B2" s="5"/>
      <x:c r="C2" s="1"/>
      <x:c r="D2" s="6"/>
      <x:c r="E2" s="1"/>
      <x:c r="F2" s="1"/>
      <x:c r="G2" s="1"/>
      <x:c r="H2" s="1"/>
      <x:c r="I2" s="1"/>
      <x:c r="J2" s="1"/>
      <x:c r="K2" s="1"/>
    </x:row>
    <x:row r="3">
      <x:c r="A3" s="1"/>
      <x:c r="B3" s="5"/>
      <x:c r="C3" s="1"/>
      <x:c r="D3" s="6"/>
      <x:c r="E3" s="1"/>
      <x:c r="F3" s="1"/>
      <x:c r="G3" s="1"/>
      <x:c r="H3" s="1"/>
      <x:c r="I3" s="1"/>
      <x:c r="J3" s="1"/>
      <x:c r="K3" s="1"/>
    </x:row>
    <x:row r="4">
      <x:c r="A4" s="1"/>
      <x:c r="B4" s="5"/>
      <x:c r="C4" s="1"/>
      <x:c r="D4" s="6"/>
      <x:c r="E4" s="1"/>
      <x:c r="F4" s="1"/>
      <x:c r="G4" s="1"/>
      <x:c r="H4" s="1"/>
      <x:c r="I4" s="1"/>
      <x:c r="J4" s="1"/>
      <x:c r="K4" s="1"/>
    </x:row>
    <x:row r="5">
      <x:c r="A5" s="1"/>
      <x:c r="B5" s="5"/>
      <x:c r="C5" s="1"/>
      <x:c r="D5" s="6"/>
      <x:c r="E5" s="1"/>
      <x:c r="F5" s="1"/>
      <x:c r="G5" s="1"/>
      <x:c r="H5" s="1"/>
      <x:c r="I5" s="1"/>
      <x:c r="J5" s="1"/>
      <x:c r="K5" s="1"/>
    </x:row>
    <x:row r="6">
      <x:c r="A6" s="1"/>
      <x:c r="B6" s="5"/>
      <x:c r="C6" s="1"/>
      <x:c r="D6" s="6"/>
      <x:c r="E6" s="1"/>
      <x:c r="F6" s="1"/>
      <x:c r="G6" s="1"/>
      <x:c r="H6" s="1"/>
      <x:c r="I6" s="1"/>
      <x:c r="J6" s="1"/>
      <x:c r="K6" s="1"/>
    </x:row>
    <x:row r="7">
      <x:c r="A7" s="1"/>
      <x:c r="B7" s="5"/>
      <x:c r="C7" s="1"/>
      <x:c r="D7" s="6"/>
      <x:c r="E7" s="1"/>
      <x:c r="F7" s="1"/>
      <x:c r="G7" s="1"/>
      <x:c r="H7" s="1"/>
      <x:c r="I7" s="1"/>
      <x:c r="J7" s="1"/>
      <x:c r="K7" s="1"/>
    </x:row>
    <x:row r="8">
      <x:c r="A8" s="1"/>
      <x:c r="B8" s="5"/>
      <x:c r="C8" s="1"/>
      <x:c r="D8" s="6"/>
      <x:c r="E8" s="1"/>
      <x:c r="F8" s="1"/>
      <x:c r="G8" s="1"/>
      <x:c r="H8" s="1"/>
      <x:c r="I8" s="1"/>
      <x:c r="J8" s="1"/>
      <x:c r="K8" s="1"/>
    </x:row>
    <x:row r="9">
      <x:c r="A9" s="1"/>
      <x:c r="B9" s="5"/>
      <x:c r="C9" s="1"/>
      <x:c r="D9" s="6"/>
      <x:c r="E9" s="1"/>
      <x:c r="F9" s="1"/>
      <x:c r="G9" s="1"/>
      <x:c r="H9" s="1"/>
      <x:c r="I9" s="1"/>
      <x:c r="J9" s="1"/>
      <x:c r="K9" s="1"/>
    </x:row>
    <x:row r="10">
      <x:c r="A10" s="1"/>
      <x:c r="B10" s="5"/>
      <x:c r="C10" s="1"/>
      <x:c r="D10" s="6"/>
      <x:c r="E10" s="1"/>
      <x:c r="F10" s="1"/>
      <x:c r="G10" s="1"/>
      <x:c r="H10" s="1"/>
      <x:c r="I10" s="1"/>
      <x:c r="J10" s="1"/>
      <x:c r="K10" s="1"/>
    </x:row>
    <x:row r="11">
      <x:c r="A11" s="1"/>
      <x:c r="B11" s="5"/>
      <x:c r="C11" s="1"/>
      <x:c r="D11" s="6"/>
      <x:c r="E11" s="1"/>
      <x:c r="F11" s="1"/>
      <x:c r="G11" s="1"/>
      <x:c r="H11" s="1"/>
      <x:c r="I11" s="1"/>
      <x:c r="J11" s="1"/>
      <x:c r="K11" s="1"/>
    </x:row>
    <x:row r="12">
      <x:c r="A12" s="1"/>
      <x:c r="B12" s="5"/>
      <x:c r="C12" s="1"/>
      <x:c r="D12" s="6"/>
      <x:c r="E12" s="1"/>
      <x:c r="F12" s="1"/>
      <x:c r="G12" s="1"/>
      <x:c r="H12" s="1"/>
      <x:c r="I12" s="1"/>
      <x:c r="J12" s="1"/>
      <x:c r="K12" s="1"/>
    </x:row>
    <x:row r="13">
      <x:c r="A13" s="1"/>
      <x:c r="B13" s="5"/>
      <x:c r="C13" s="1"/>
      <x:c r="D13" s="6"/>
      <x:c r="E13" s="1"/>
      <x:c r="F13" s="1"/>
      <x:c r="G13" s="1"/>
      <x:c r="H13" s="1"/>
      <x:c r="I13" s="1"/>
      <x:c r="J13" s="1"/>
      <x:c r="K13" s="1"/>
    </x:row>
    <x:row r="14">
      <x:c r="A14" s="1"/>
      <x:c r="B14" s="5"/>
      <x:c r="C14" s="1"/>
      <x:c r="D14" s="6"/>
      <x:c r="E14" s="1"/>
      <x:c r="F14" s="1"/>
      <x:c r="G14" s="1"/>
      <x:c r="H14" s="1"/>
      <x:c r="I14" s="1"/>
      <x:c r="J14" s="1"/>
      <x:c r="K14" s="1"/>
    </x:row>
    <x:row r="15">
      <x:c r="A15" s="1"/>
      <x:c r="B15" s="5"/>
      <x:c r="C15" s="1"/>
      <x:c r="D15" s="6"/>
      <x:c r="E15" s="1"/>
      <x:c r="F15" s="1"/>
      <x:c r="G15" s="1"/>
      <x:c r="H15" s="1"/>
      <x:c r="I15" s="1"/>
      <x:c r="J15" s="1"/>
      <x:c r="K15" s="1"/>
    </x:row>
    <x:row r="16">
      <x:c r="A16" s="1"/>
      <x:c r="B16" s="5"/>
      <x:c r="C16" s="1"/>
      <x:c r="D16" s="6"/>
      <x:c r="E16" s="1"/>
      <x:c r="F16" s="1"/>
      <x:c r="G16" s="1"/>
      <x:c r="H16" s="1"/>
      <x:c r="I16" s="1"/>
      <x:c r="J16" s="1"/>
      <x:c r="K16" s="1"/>
    </x:row>
    <x:row r="17">
      <x:c r="A17" s="1"/>
      <x:c r="B17" s="5"/>
      <x:c r="C17" s="1"/>
      <x:c r="D17" s="6"/>
      <x:c r="E17" s="1"/>
      <x:c r="F17" s="1"/>
      <x:c r="G17" s="1"/>
      <x:c r="H17" s="1"/>
      <x:c r="I17" s="1"/>
      <x:c r="J17" s="1"/>
      <x:c r="K17" s="1"/>
    </x:row>
    <x:row r="18">
      <x:c r="A18" s="1"/>
      <x:c r="B18" s="5"/>
      <x:c r="C18" s="1"/>
      <x:c r="D18" s="6"/>
      <x:c r="E18" s="1"/>
      <x:c r="F18" s="1"/>
      <x:c r="G18" s="1"/>
      <x:c r="H18" s="1"/>
      <x:c r="I18" s="1"/>
      <x:c r="J18" s="1"/>
      <x:c r="K18" s="1"/>
    </x:row>
    <x:row r="19">
      <x:c r="A19" s="1"/>
      <x:c r="B19" s="5"/>
      <x:c r="C19" s="1"/>
      <x:c r="D19" s="6"/>
      <x:c r="E19" s="1"/>
      <x:c r="F19" s="1"/>
      <x:c r="G19" s="1"/>
      <x:c r="H19" s="1"/>
      <x:c r="I19" s="1"/>
      <x:c r="J19" s="1"/>
      <x:c r="K19" s="1"/>
    </x:row>
    <x:row r="20">
      <x:c r="A20" s="1"/>
      <x:c r="B20" s="5"/>
      <x:c r="C20" s="1"/>
      <x:c r="D20" s="6"/>
      <x:c r="E20" s="1"/>
      <x:c r="F20" s="1"/>
      <x:c r="G20" s="1"/>
      <x:c r="H20" s="1"/>
      <x:c r="I20" s="1"/>
      <x:c r="J20" s="1"/>
      <x:c r="K20" s="1"/>
    </x:row>
    <x:row r="21">
      <x:c r="A21" s="1"/>
      <x:c r="B21" s="5"/>
      <x:c r="C21" s="1"/>
      <x:c r="D21" s="6"/>
      <x:c r="E21" s="1"/>
      <x:c r="F21" s="1"/>
      <x:c r="G21" s="1"/>
      <x:c r="H21" s="1"/>
      <x:c r="I21" s="1"/>
      <x:c r="J21" s="1"/>
      <x:c r="K21" s="1"/>
    </x:row>
    <x:row r="22">
      <x:c r="A22" s="1"/>
      <x:c r="B22" s="5"/>
      <x:c r="C22" s="1"/>
      <x:c r="D22" s="6"/>
      <x:c r="E22" s="1"/>
      <x:c r="F22" s="1"/>
      <x:c r="G22" s="1"/>
      <x:c r="H22" s="1"/>
      <x:c r="I22" s="1"/>
      <x:c r="J22" s="1"/>
      <x:c r="K22" s="1"/>
    </x:row>
    <x:row r="23">
      <x:c r="A23" s="1"/>
      <x:c r="B23" s="5"/>
      <x:c r="C23" s="1"/>
      <x:c r="D23" s="6"/>
      <x:c r="E23" s="1"/>
      <x:c r="F23" s="1"/>
      <x:c r="G23" s="1"/>
      <x:c r="H23" s="1"/>
      <x:c r="I23" s="1"/>
      <x:c r="J23" s="1"/>
      <x:c r="K23" s="1"/>
    </x:row>
    <x:row r="24">
      <x:c r="A24" s="1"/>
      <x:c r="B24" s="5"/>
      <x:c r="C24" s="1"/>
      <x:c r="D24" s="6"/>
      <x:c r="E24" s="1"/>
      <x:c r="F24" s="1"/>
      <x:c r="G24" s="1"/>
      <x:c r="H24" s="1"/>
      <x:c r="I24" s="1"/>
      <x:c r="J24" s="1"/>
      <x:c r="K24" s="1"/>
    </x:row>
    <x:row r="25">
      <x:c r="A25" s="1"/>
      <x:c r="B25" s="5"/>
      <x:c r="C25" s="1"/>
      <x:c r="D25" s="6"/>
      <x:c r="E25" s="1"/>
      <x:c r="F25" s="1"/>
      <x:c r="G25" s="1"/>
      <x:c r="H25" s="1"/>
      <x:c r="I25" s="1"/>
      <x:c r="J25" s="1"/>
      <x:c r="K25" s="1"/>
    </x:row>
    <x:row r="26">
      <x:c r="A26" s="1"/>
      <x:c r="B26" s="5"/>
      <x:c r="C26" s="1"/>
      <x:c r="D26" s="6"/>
      <x:c r="E26" s="1"/>
      <x:c r="F26" s="1"/>
      <x:c r="G26" s="1"/>
      <x:c r="H26" s="1"/>
      <x:c r="I26" s="1"/>
      <x:c r="J26" s="1"/>
      <x:c r="K26" s="1"/>
    </x:row>
    <x:row r="27">
      <x:c r="A27" s="1"/>
      <x:c r="B27" s="5"/>
      <x:c r="C27" s="1"/>
      <x:c r="D27" s="6"/>
      <x:c r="E27" s="1"/>
      <x:c r="F27" s="1"/>
      <x:c r="G27" s="1"/>
      <x:c r="H27" s="1"/>
      <x:c r="I27" s="1"/>
      <x:c r="J27" s="1"/>
      <x:c r="K27" s="1"/>
    </x:row>
    <x:row r="28">
      <x:c r="A28" s="1"/>
      <x:c r="B28" s="5"/>
      <x:c r="C28" s="1"/>
      <x:c r="D28" s="6"/>
      <x:c r="E28" s="1"/>
      <x:c r="F28" s="1"/>
      <x:c r="G28" s="1"/>
      <x:c r="H28" s="1"/>
      <x:c r="I28" s="1"/>
      <x:c r="J28" s="1"/>
      <x:c r="K28" s="1"/>
    </x:row>
    <x:row r="29">
      <x:c r="A29" s="1"/>
      <x:c r="B29" s="5"/>
      <x:c r="C29" s="1"/>
      <x:c r="D29" s="6"/>
      <x:c r="E29" s="1"/>
      <x:c r="F29" s="1"/>
      <x:c r="G29" s="1"/>
      <x:c r="H29" s="1"/>
      <x:c r="I29" s="1"/>
      <x:c r="J29" s="1"/>
      <x:c r="K29" s="1"/>
    </x:row>
    <x:row r="30">
      <x:c r="A30" s="1"/>
      <x:c r="B30" s="5"/>
      <x:c r="C30" s="1"/>
      <x:c r="D30" s="6"/>
      <x:c r="E30" s="1"/>
      <x:c r="F30" s="1"/>
      <x:c r="G30" s="1"/>
      <x:c r="H30" s="1"/>
      <x:c r="I30" s="1"/>
      <x:c r="J30" s="1"/>
      <x:c r="K30" s="1"/>
    </x:row>
    <x:row r="31">
      <x:c r="A31" s="1"/>
      <x:c r="B31" s="5"/>
      <x:c r="C31" s="1"/>
      <x:c r="D31" s="6"/>
      <x:c r="E31" s="1"/>
      <x:c r="F31" s="1"/>
      <x:c r="G31" s="1"/>
      <x:c r="H31" s="1"/>
      <x:c r="I31" s="1"/>
      <x:c r="J31" s="1"/>
      <x:c r="K31" s="1"/>
    </x:row>
    <x:row r="32">
      <x:c r="A32" s="1"/>
      <x:c r="B32" s="5"/>
      <x:c r="C32" s="1"/>
      <x:c r="D32" s="6"/>
      <x:c r="E32" s="1"/>
      <x:c r="F32" s="1"/>
      <x:c r="G32" s="1"/>
      <x:c r="H32" s="1"/>
      <x:c r="I32" s="1"/>
      <x:c r="J32" s="1"/>
      <x:c r="K32" s="1"/>
    </x:row>
    <x:row r="33">
      <x:c r="A33" s="1"/>
      <x:c r="B33" s="5"/>
      <x:c r="C33" s="1"/>
      <x:c r="D33" s="6"/>
      <x:c r="E33" s="1"/>
      <x:c r="F33" s="1"/>
      <x:c r="G33" s="1"/>
      <x:c r="H33" s="1"/>
      <x:c r="I33" s="1"/>
      <x:c r="J33" s="1"/>
      <x:c r="K33" s="1"/>
    </x:row>
    <x:row r="34">
      <x:c r="A34" s="1"/>
      <x:c r="B34" s="5"/>
      <x:c r="C34" s="1"/>
      <x:c r="D34" s="6"/>
      <x:c r="E34" s="1"/>
      <x:c r="F34" s="1"/>
      <x:c r="G34" s="1"/>
      <x:c r="H34" s="1"/>
      <x:c r="I34" s="1"/>
      <x:c r="J34" s="1"/>
      <x:c r="K34" s="1"/>
    </x:row>
    <x:row r="35">
      <x:c r="A35" s="1"/>
      <x:c r="B35" s="5"/>
      <x:c r="C35" s="1"/>
      <x:c r="D35" s="6"/>
      <x:c r="E35" s="1"/>
      <x:c r="F35" s="1"/>
      <x:c r="G35" s="1"/>
      <x:c r="H35" s="1"/>
      <x:c r="I35" s="1"/>
      <x:c r="J35" s="1"/>
      <x:c r="K35" s="1"/>
    </x:row>
    <x:row r="36">
      <x:c r="A36" s="1"/>
      <x:c r="B36" s="5"/>
      <x:c r="C36" s="1"/>
      <x:c r="D36" s="6"/>
      <x:c r="E36" s="1"/>
      <x:c r="F36" s="1"/>
      <x:c r="G36" s="1"/>
      <x:c r="H36" s="1"/>
      <x:c r="I36" s="1"/>
      <x:c r="J36" s="1"/>
      <x:c r="K36" s="1"/>
    </x:row>
    <x:row r="37">
      <x:c r="A37" s="1"/>
      <x:c r="B37" s="5"/>
      <x:c r="C37" s="1"/>
      <x:c r="D37" s="6"/>
      <x:c r="E37" s="1"/>
      <x:c r="F37" s="1"/>
      <x:c r="G37" s="1"/>
      <x:c r="H37" s="1"/>
      <x:c r="I37" s="1"/>
      <x:c r="J37" s="1"/>
      <x:c r="K37" s="1"/>
    </x:row>
    <x:row r="38">
      <x:c r="A38" s="1"/>
      <x:c r="B38" s="5"/>
      <x:c r="C38" s="1"/>
      <x:c r="D38" s="6"/>
      <x:c r="E38" s="1"/>
      <x:c r="F38" s="1"/>
      <x:c r="G38" s="1"/>
      <x:c r="H38" s="1"/>
      <x:c r="I38" s="1"/>
      <x:c r="J38" s="1"/>
      <x:c r="K38" s="1"/>
    </x:row>
    <x:row r="39">
      <x:c r="A39" s="1"/>
      <x:c r="B39" s="5"/>
      <x:c r="C39" s="1"/>
      <x:c r="D39" s="6"/>
      <x:c r="E39" s="1"/>
      <x:c r="F39" s="1"/>
      <x:c r="G39" s="1"/>
      <x:c r="H39" s="1"/>
      <x:c r="I39" s="1"/>
      <x:c r="J39" s="1"/>
      <x:c r="K39" s="1"/>
    </x:row>
    <x:row r="40">
      <x:c r="A40" s="1"/>
      <x:c r="B40" s="5"/>
      <x:c r="C40" s="1"/>
      <x:c r="D40" s="6"/>
      <x:c r="E40" s="1"/>
      <x:c r="F40" s="1"/>
      <x:c r="G40" s="1"/>
      <x:c r="H40" s="1"/>
      <x:c r="I40" s="1"/>
      <x:c r="J40" s="1"/>
      <x:c r="K40" s="1"/>
    </x:row>
    <x:row r="41">
      <x:c r="A41" s="1"/>
      <x:c r="B41" s="5"/>
      <x:c r="C41" s="1"/>
      <x:c r="D41" s="6"/>
      <x:c r="E41" s="1"/>
      <x:c r="F41" s="1"/>
      <x:c r="G41" s="1"/>
      <x:c r="H41" s="1"/>
      <x:c r="I41" s="1"/>
      <x:c r="J41" s="1"/>
      <x:c r="K41" s="1"/>
    </x:row>
    <x:row r="42">
      <x:c r="A42" s="1"/>
      <x:c r="B42" s="5"/>
      <x:c r="C42" s="1"/>
      <x:c r="D42" s="6"/>
      <x:c r="E42" s="1"/>
      <x:c r="F42" s="1"/>
      <x:c r="G42" s="1"/>
      <x:c r="H42" s="1"/>
      <x:c r="I42" s="1"/>
      <x:c r="J42" s="1"/>
      <x:c r="K42" s="1"/>
    </x:row>
    <x:row r="43">
      <x:c r="A43" s="1"/>
      <x:c r="B43" s="5"/>
      <x:c r="C43" s="1"/>
      <x:c r="D43" s="6"/>
      <x:c r="E43" s="1"/>
      <x:c r="F43" s="1"/>
      <x:c r="G43" s="1"/>
      <x:c r="H43" s="1"/>
      <x:c r="I43" s="1"/>
      <x:c r="J43" s="1"/>
      <x:c r="K43" s="1"/>
    </x:row>
    <x:row r="44">
      <x:c r="A44" s="1"/>
      <x:c r="B44" s="5"/>
      <x:c r="C44" s="1"/>
      <x:c r="D44" s="6"/>
      <x:c r="E44" s="1"/>
      <x:c r="F44" s="1"/>
      <x:c r="G44" s="1"/>
      <x:c r="H44" s="1"/>
      <x:c r="I44" s="1"/>
      <x:c r="J44" s="1"/>
      <x:c r="K44" s="1"/>
    </x:row>
    <x:row r="45">
      <x:c r="A45" s="1"/>
      <x:c r="B45" s="5"/>
      <x:c r="C45" s="1"/>
      <x:c r="D45" s="6"/>
      <x:c r="E45" s="1"/>
      <x:c r="F45" s="1"/>
      <x:c r="G45" s="1"/>
      <x:c r="H45" s="1"/>
      <x:c r="I45" s="1"/>
      <x:c r="J45" s="1"/>
      <x:c r="K45" s="1"/>
    </x:row>
    <x:row r="46">
      <x:c r="A46" s="1"/>
      <x:c r="B46" s="5"/>
      <x:c r="C46" s="1"/>
      <x:c r="D46" s="6"/>
      <x:c r="E46" s="1"/>
      <x:c r="F46" s="1"/>
      <x:c r="G46" s="1"/>
      <x:c r="H46" s="1"/>
      <x:c r="I46" s="1"/>
      <x:c r="J46" s="1"/>
      <x:c r="K46" s="1"/>
    </x:row>
    <x:row r="47">
      <x:c r="A47" s="1"/>
      <x:c r="B47" s="5"/>
      <x:c r="C47" s="1"/>
      <x:c r="D47" s="6"/>
      <x:c r="E47" s="1"/>
      <x:c r="F47" s="1"/>
      <x:c r="G47" s="1"/>
      <x:c r="H47" s="1"/>
      <x:c r="I47" s="1"/>
      <x:c r="J47" s="1"/>
      <x:c r="K47" s="1"/>
    </x:row>
    <x:row r="48">
      <x:c r="A48" s="1"/>
      <x:c r="B48" s="5"/>
      <x:c r="C48" s="1"/>
      <x:c r="D48" s="6"/>
      <x:c r="E48" s="1"/>
      <x:c r="F48" s="1"/>
      <x:c r="G48" s="1"/>
      <x:c r="H48" s="1"/>
      <x:c r="I48" s="1"/>
      <x:c r="J48" s="1"/>
      <x:c r="K48" s="1"/>
    </x:row>
    <x:row r="49">
      <x:c r="A49" s="1"/>
      <x:c r="B49" s="5"/>
      <x:c r="C49" s="1"/>
      <x:c r="D49" s="6"/>
      <x:c r="E49" s="1"/>
      <x:c r="F49" s="1"/>
      <x:c r="G49" s="1"/>
      <x:c r="H49" s="1"/>
      <x:c r="I49" s="1"/>
      <x:c r="J49" s="1"/>
      <x:c r="K49" s="1"/>
    </x:row>
    <x:row r="50">
      <x:c r="A50" s="1"/>
      <x:c r="B50" s="5"/>
      <x:c r="C50" s="1"/>
      <x:c r="D50" s="6"/>
      <x:c r="E50" s="1"/>
      <x:c r="F50" s="1"/>
      <x:c r="G50" s="1"/>
      <x:c r="H50" s="1"/>
      <x:c r="I50" s="1"/>
      <x:c r="J50" s="1"/>
      <x:c r="K50" s="1"/>
    </x:row>
    <x:row r="51">
      <x:c r="A51" s="1"/>
      <x:c r="B51" s="5"/>
      <x:c r="C51" s="1"/>
      <x:c r="D51" s="6"/>
      <x:c r="E51" s="1"/>
      <x:c r="F51" s="1"/>
      <x:c r="G51" s="1"/>
      <x:c r="H51" s="1"/>
      <x:c r="I51" s="1"/>
      <x:c r="J51" s="1"/>
      <x:c r="K51" s="1"/>
    </x:row>
    <x:row r="52">
      <x:c r="A52" s="1"/>
      <x:c r="B52" s="5"/>
      <x:c r="C52" s="1"/>
      <x:c r="D52" s="6"/>
      <x:c r="E52" s="1"/>
      <x:c r="F52" s="1"/>
      <x:c r="G52" s="1"/>
      <x:c r="H52" s="1"/>
      <x:c r="I52" s="1"/>
      <x:c r="J52" s="1"/>
      <x:c r="K52" s="1"/>
    </x:row>
    <x:row r="53">
      <x:c r="A53" s="1"/>
      <x:c r="B53" s="5"/>
      <x:c r="C53" s="1"/>
      <x:c r="D53" s="6"/>
      <x:c r="E53" s="1"/>
      <x:c r="F53" s="1"/>
      <x:c r="G53" s="1"/>
      <x:c r="H53" s="1"/>
      <x:c r="I53" s="1"/>
      <x:c r="J53" s="1"/>
      <x:c r="K53" s="1"/>
    </x:row>
    <x:row r="54">
      <x:c r="A54" s="1"/>
      <x:c r="B54" s="5"/>
      <x:c r="C54" s="1"/>
      <x:c r="D54" s="6"/>
      <x:c r="E54" s="1"/>
      <x:c r="F54" s="1"/>
      <x:c r="G54" s="1"/>
      <x:c r="H54" s="1"/>
      <x:c r="I54" s="1"/>
      <x:c r="J54" s="1"/>
      <x:c r="K54" s="1"/>
    </x:row>
    <x:row r="55">
      <x:c r="A55" s="1"/>
      <x:c r="B55" s="5"/>
      <x:c r="C55" s="1"/>
      <x:c r="D55" s="6"/>
      <x:c r="E55" s="1"/>
      <x:c r="F55" s="1"/>
      <x:c r="G55" s="1"/>
      <x:c r="H55" s="1"/>
      <x:c r="I55" s="1"/>
      <x:c r="J55" s="1"/>
      <x:c r="K55" s="1"/>
    </x:row>
    <x:row r="56">
      <x:c r="A56" s="1"/>
      <x:c r="B56" s="5"/>
      <x:c r="C56" s="1"/>
      <x:c r="D56" s="6"/>
      <x:c r="E56" s="1"/>
      <x:c r="F56" s="1"/>
      <x:c r="G56" s="1"/>
      <x:c r="H56" s="1"/>
      <x:c r="I56" s="1"/>
      <x:c r="J56" s="1"/>
      <x:c r="K56" s="1"/>
    </x:row>
    <x:row r="57">
      <x:c r="A57" s="1"/>
      <x:c r="B57" s="5"/>
      <x:c r="C57" s="1"/>
      <x:c r="D57" s="6"/>
      <x:c r="E57" s="1"/>
      <x:c r="F57" s="1"/>
      <x:c r="G57" s="1"/>
      <x:c r="H57" s="1"/>
      <x:c r="I57" s="1"/>
      <x:c r="J57" s="1"/>
      <x:c r="K57" s="1"/>
    </x:row>
    <x:row r="58">
      <x:c r="A58" s="1"/>
      <x:c r="B58" s="5"/>
      <x:c r="C58" s="1"/>
      <x:c r="D58" s="6"/>
      <x:c r="E58" s="1"/>
      <x:c r="F58" s="1"/>
      <x:c r="G58" s="1"/>
      <x:c r="H58" s="1"/>
      <x:c r="I58" s="1"/>
      <x:c r="J58" s="1"/>
      <x:c r="K58" s="1"/>
    </x:row>
    <x:row r="59">
      <x:c r="A59" s="1"/>
      <x:c r="B59" s="5"/>
      <x:c r="C59" s="1"/>
      <x:c r="D59" s="6"/>
      <x:c r="E59" s="1"/>
      <x:c r="F59" s="1"/>
      <x:c r="G59" s="1"/>
      <x:c r="H59" s="1"/>
      <x:c r="I59" s="1"/>
      <x:c r="J59" s="1"/>
      <x:c r="K59" s="1"/>
    </x:row>
    <x:row r="60">
      <x:c r="A60" s="1"/>
      <x:c r="B60" s="5"/>
      <x:c r="C60" s="1"/>
      <x:c r="D60" s="6"/>
      <x:c r="E60" s="1"/>
      <x:c r="F60" s="1"/>
      <x:c r="G60" s="1"/>
      <x:c r="H60" s="1"/>
      <x:c r="I60" s="1"/>
      <x:c r="J60" s="1"/>
      <x:c r="K60" s="1"/>
    </x:row>
    <x:row r="61">
      <x:c r="A61" s="1"/>
      <x:c r="B61" s="5"/>
      <x:c r="C61" s="1"/>
      <x:c r="D61" s="6"/>
      <x:c r="E61" s="1"/>
      <x:c r="F61" s="1"/>
      <x:c r="G61" s="1"/>
      <x:c r="H61" s="1"/>
      <x:c r="I61" s="1"/>
      <x:c r="J61" s="1"/>
      <x:c r="K61" s="1"/>
    </x:row>
    <x:row r="62">
      <x:c r="A62" s="1"/>
      <x:c r="B62" s="5"/>
      <x:c r="C62" s="1"/>
      <x:c r="D62" s="6"/>
      <x:c r="E62" s="1"/>
      <x:c r="F62" s="1"/>
      <x:c r="G62" s="1"/>
      <x:c r="H62" s="1"/>
      <x:c r="I62" s="1"/>
      <x:c r="J62" s="1"/>
      <x:c r="K62" s="1"/>
    </x:row>
    <x:row r="63">
      <x:c r="A63" s="1"/>
      <x:c r="B63" s="5"/>
      <x:c r="C63" s="1"/>
      <x:c r="D63" s="6"/>
      <x:c r="E63" s="1"/>
      <x:c r="F63" s="1"/>
      <x:c r="G63" s="1"/>
      <x:c r="H63" s="1"/>
      <x:c r="I63" s="1"/>
      <x:c r="J63" s="1"/>
      <x:c r="K63" s="1"/>
    </x:row>
    <x:row r="64">
      <x:c r="A64" s="1"/>
      <x:c r="B64" s="5"/>
      <x:c r="C64" s="1"/>
      <x:c r="D64" s="6"/>
      <x:c r="E64" s="1"/>
      <x:c r="F64" s="1"/>
      <x:c r="G64" s="1"/>
      <x:c r="H64" s="1"/>
      <x:c r="I64" s="1"/>
      <x:c r="J64" s="1"/>
      <x:c r="K64" s="1"/>
    </x:row>
    <x:row r="65">
      <x:c r="A65" s="1"/>
      <x:c r="B65" s="5"/>
      <x:c r="C65" s="1"/>
      <x:c r="D65" s="6"/>
      <x:c r="E65" s="1"/>
      <x:c r="F65" s="1"/>
      <x:c r="G65" s="1"/>
      <x:c r="H65" s="1"/>
      <x:c r="I65" s="1"/>
      <x:c r="J65" s="1"/>
      <x:c r="K65" s="1"/>
    </x:row>
    <x:row r="66">
      <x:c r="A66" s="1"/>
      <x:c r="B66" s="5"/>
      <x:c r="C66" s="1"/>
      <x:c r="D66" s="6"/>
      <x:c r="E66" s="1"/>
      <x:c r="F66" s="1"/>
      <x:c r="G66" s="1"/>
      <x:c r="H66" s="1"/>
      <x:c r="I66" s="1"/>
      <x:c r="J66" s="1"/>
      <x:c r="K66" s="1"/>
    </x:row>
    <x:row r="67">
      <x:c r="A67" s="1"/>
      <x:c r="B67" s="5"/>
      <x:c r="C67" s="1"/>
      <x:c r="D67" s="6"/>
      <x:c r="E67" s="1"/>
      <x:c r="F67" s="1"/>
      <x:c r="G67" s="1"/>
      <x:c r="H67" s="1"/>
      <x:c r="I67" s="1"/>
      <x:c r="J67" s="1"/>
      <x:c r="K67" s="1"/>
    </x:row>
    <x:row r="68">
      <x:c r="A68" s="1"/>
      <x:c r="B68" s="5"/>
      <x:c r="C68" s="1"/>
      <x:c r="D68" s="6"/>
      <x:c r="E68" s="1"/>
      <x:c r="F68" s="1"/>
      <x:c r="G68" s="1"/>
      <x:c r="H68" s="1"/>
      <x:c r="I68" s="1"/>
      <x:c r="J68" s="1"/>
      <x:c r="K68" s="1"/>
    </x:row>
    <x:row r="69">
      <x:c r="A69" s="1"/>
      <x:c r="B69" s="5"/>
      <x:c r="C69" s="1"/>
      <x:c r="D69" s="6"/>
      <x:c r="E69" s="1"/>
      <x:c r="F69" s="1"/>
      <x:c r="G69" s="1"/>
      <x:c r="H69" s="1"/>
      <x:c r="I69" s="1"/>
      <x:c r="J69" s="1"/>
      <x:c r="K69" s="1"/>
    </x:row>
    <x:row r="70">
      <x:c r="A70" s="1"/>
      <x:c r="B70" s="5"/>
      <x:c r="C70" s="1"/>
      <x:c r="D70" s="6"/>
      <x:c r="E70" s="1"/>
      <x:c r="F70" s="1"/>
      <x:c r="G70" s="1"/>
      <x:c r="H70" s="1"/>
      <x:c r="I70" s="1"/>
      <x:c r="J70" s="1"/>
      <x:c r="K70" s="1"/>
    </x:row>
    <x:row r="71">
      <x:c r="A71" s="1"/>
      <x:c r="B71" s="5"/>
      <x:c r="C71" s="1"/>
      <x:c r="D71" s="6"/>
      <x:c r="E71" s="1"/>
      <x:c r="F71" s="1"/>
      <x:c r="G71" s="1"/>
      <x:c r="H71" s="1"/>
      <x:c r="I71" s="1"/>
      <x:c r="J71" s="1"/>
      <x:c r="K71" s="1"/>
    </x:row>
    <x:row r="72">
      <x:c r="A72" s="1"/>
      <x:c r="B72" s="5"/>
      <x:c r="C72" s="1"/>
      <x:c r="D72" s="6"/>
      <x:c r="E72" s="1"/>
      <x:c r="F72" s="1"/>
      <x:c r="G72" s="1"/>
      <x:c r="H72" s="1"/>
      <x:c r="I72" s="1"/>
      <x:c r="J72" s="1"/>
      <x:c r="K72" s="1"/>
    </x:row>
    <x:row r="73">
      <x:c r="A73" s="1"/>
      <x:c r="B73" s="5"/>
      <x:c r="C73" s="1"/>
      <x:c r="D73" s="6"/>
      <x:c r="E73" s="1"/>
      <x:c r="F73" s="1"/>
      <x:c r="G73" s="1"/>
      <x:c r="H73" s="1"/>
      <x:c r="I73" s="1"/>
      <x:c r="J73" s="1"/>
      <x:c r="K73" s="1"/>
    </x:row>
    <x:row r="74">
      <x:c r="A74" s="1"/>
      <x:c r="B74" s="5"/>
      <x:c r="C74" s="1"/>
      <x:c r="D74" s="6"/>
      <x:c r="E74" s="1"/>
      <x:c r="F74" s="1"/>
      <x:c r="G74" s="1"/>
      <x:c r="H74" s="1"/>
      <x:c r="I74" s="1"/>
      <x:c r="J74" s="1"/>
      <x:c r="K74" s="1"/>
    </x:row>
    <x:row r="75">
      <x:c r="A75" s="1"/>
      <x:c r="B75" s="5"/>
      <x:c r="C75" s="1"/>
      <x:c r="D75" s="6"/>
      <x:c r="E75" s="1"/>
      <x:c r="F75" s="1"/>
      <x:c r="G75" s="1"/>
      <x:c r="H75" s="1"/>
      <x:c r="I75" s="1"/>
      <x:c r="J75" s="1"/>
      <x:c r="K75" s="1"/>
    </x:row>
    <x:row r="76">
      <x:c r="A76" s="1"/>
      <x:c r="B76" s="5"/>
      <x:c r="C76" s="1"/>
      <x:c r="D76" s="6"/>
      <x:c r="E76" s="1"/>
      <x:c r="F76" s="1"/>
      <x:c r="G76" s="1"/>
      <x:c r="H76" s="1"/>
      <x:c r="I76" s="1"/>
      <x:c r="J76" s="1"/>
      <x:c r="K76" s="1"/>
    </x:row>
    <x:row r="77">
      <x:c r="A77" s="1"/>
      <x:c r="B77" s="5"/>
      <x:c r="C77" s="1"/>
      <x:c r="D77" s="6"/>
      <x:c r="E77" s="1"/>
      <x:c r="F77" s="1"/>
      <x:c r="G77" s="1"/>
      <x:c r="H77" s="1"/>
      <x:c r="I77" s="1"/>
      <x:c r="J77" s="1"/>
      <x:c r="K77" s="1"/>
    </x:row>
    <x:row r="78">
      <x:c r="A78" s="1"/>
      <x:c r="B78" s="5"/>
      <x:c r="C78" s="1"/>
      <x:c r="D78" s="6"/>
      <x:c r="E78" s="1"/>
      <x:c r="F78" s="1"/>
      <x:c r="G78" s="1"/>
      <x:c r="H78" s="1"/>
      <x:c r="I78" s="1"/>
      <x:c r="J78" s="1"/>
      <x:c r="K78" s="1"/>
    </x:row>
    <x:row r="79">
      <x:c r="A79" s="1"/>
      <x:c r="B79" s="5"/>
      <x:c r="C79" s="1"/>
      <x:c r="D79" s="6"/>
      <x:c r="E79" s="1"/>
      <x:c r="F79" s="1"/>
      <x:c r="G79" s="1"/>
      <x:c r="H79" s="1"/>
      <x:c r="I79" s="1"/>
      <x:c r="J79" s="1"/>
      <x:c r="K79" s="1"/>
    </x:row>
    <x:row r="80">
      <x:c r="A80" s="1"/>
      <x:c r="B80" s="5"/>
      <x:c r="C80" s="1"/>
      <x:c r="D80" s="6"/>
      <x:c r="E80" s="1"/>
      <x:c r="F80" s="1"/>
      <x:c r="G80" s="1"/>
      <x:c r="H80" s="1"/>
      <x:c r="I80" s="1"/>
      <x:c r="J80" s="1"/>
      <x:c r="K80" s="1"/>
    </x:row>
    <x:row r="81">
      <x:c r="A81" s="1"/>
      <x:c r="B81" s="5"/>
      <x:c r="C81" s="1"/>
      <x:c r="D81" s="6"/>
      <x:c r="E81" s="1"/>
      <x:c r="F81" s="1"/>
      <x:c r="G81" s="1"/>
      <x:c r="H81" s="1"/>
      <x:c r="I81" s="1"/>
      <x:c r="J81" s="1"/>
      <x:c r="K81" s="1"/>
    </x:row>
    <x:row r="82">
      <x:c r="A82" s="1"/>
      <x:c r="B82" s="5"/>
      <x:c r="C82" s="1"/>
      <x:c r="D82" s="6"/>
      <x:c r="E82" s="1"/>
      <x:c r="F82" s="1"/>
      <x:c r="G82" s="1"/>
      <x:c r="H82" s="1"/>
      <x:c r="I82" s="1"/>
      <x:c r="J82" s="1"/>
      <x:c r="K82" s="1"/>
    </x:row>
    <x:row r="83">
      <x:c r="A83" s="1"/>
      <x:c r="B83" s="5"/>
      <x:c r="C83" s="1"/>
      <x:c r="D83" s="6"/>
      <x:c r="E83" s="1"/>
      <x:c r="F83" s="1"/>
      <x:c r="G83" s="1"/>
      <x:c r="H83" s="1"/>
      <x:c r="I83" s="1"/>
      <x:c r="J83" s="1"/>
      <x:c r="K83" s="1"/>
    </x:row>
    <x:row r="84">
      <x:c r="A84" s="1"/>
      <x:c r="B84" s="5"/>
      <x:c r="C84" s="1"/>
      <x:c r="D84" s="6"/>
      <x:c r="E84" s="1"/>
      <x:c r="F84" s="1"/>
      <x:c r="G84" s="1"/>
      <x:c r="H84" s="1"/>
      <x:c r="I84" s="1"/>
      <x:c r="J84" s="1"/>
      <x:c r="K84" s="1"/>
    </x:row>
    <x:row r="85">
      <x:c r="A85" s="1"/>
      <x:c r="B85" s="5"/>
      <x:c r="C85" s="1"/>
      <x:c r="D85" s="6"/>
      <x:c r="E85" s="1"/>
      <x:c r="F85" s="1"/>
      <x:c r="G85" s="1"/>
      <x:c r="H85" s="1"/>
      <x:c r="I85" s="1"/>
      <x:c r="J85" s="1"/>
      <x:c r="K85" s="1"/>
    </x:row>
    <x:row r="86">
      <x:c r="A86" s="1"/>
      <x:c r="B86" s="5"/>
      <x:c r="C86" s="1"/>
      <x:c r="D86" s="6"/>
      <x:c r="E86" s="1"/>
      <x:c r="F86" s="1"/>
      <x:c r="G86" s="1"/>
      <x:c r="H86" s="1"/>
      <x:c r="I86" s="1"/>
      <x:c r="J86" s="1"/>
      <x:c r="K86" s="1"/>
    </x:row>
    <x:row r="87">
      <x:c r="A87" s="1"/>
      <x:c r="B87" s="5"/>
      <x:c r="C87" s="1"/>
      <x:c r="D87" s="6"/>
      <x:c r="E87" s="1"/>
      <x:c r="F87" s="1"/>
      <x:c r="G87" s="1"/>
      <x:c r="H87" s="1"/>
      <x:c r="I87" s="1"/>
      <x:c r="J87" s="1"/>
      <x:c r="K87" s="1"/>
    </x:row>
    <x:row r="88">
      <x:c r="A88" s="1"/>
      <x:c r="B88" s="5"/>
      <x:c r="C88" s="1"/>
      <x:c r="D88" s="6"/>
      <x:c r="E88" s="1"/>
      <x:c r="F88" s="1"/>
      <x:c r="G88" s="1"/>
      <x:c r="H88" s="1"/>
      <x:c r="I88" s="1"/>
      <x:c r="J88" s="1"/>
      <x:c r="K88" s="1"/>
    </x:row>
    <x:row r="89">
      <x:c r="A89" s="1"/>
      <x:c r="B89" s="5"/>
      <x:c r="C89" s="1"/>
      <x:c r="D89" s="6"/>
      <x:c r="E89" s="1"/>
      <x:c r="F89" s="1"/>
      <x:c r="G89" s="1"/>
      <x:c r="H89" s="1"/>
      <x:c r="I89" s="1"/>
      <x:c r="J89" s="1"/>
      <x:c r="K89" s="1"/>
    </x:row>
    <x:row r="90">
      <x:c r="A90" s="1"/>
      <x:c r="B90" s="5"/>
      <x:c r="C90" s="1"/>
      <x:c r="D90" s="6"/>
      <x:c r="E90" s="1"/>
      <x:c r="F90" s="1"/>
      <x:c r="G90" s="1"/>
      <x:c r="H90" s="1"/>
      <x:c r="I90" s="1"/>
      <x:c r="J90" s="1"/>
      <x:c r="K90" s="1"/>
    </x:row>
    <x:row r="91">
      <x:c r="A91" s="1"/>
      <x:c r="B91" s="5"/>
      <x:c r="C91" s="1"/>
      <x:c r="D91" s="6"/>
      <x:c r="E91" s="1"/>
      <x:c r="F91" s="1"/>
      <x:c r="G91" s="1"/>
      <x:c r="H91" s="1"/>
      <x:c r="I91" s="1"/>
      <x:c r="J91" s="1"/>
      <x:c r="K91" s="1"/>
    </x:row>
    <x:row r="92">
      <x:c r="A92" s="1"/>
      <x:c r="B92" s="5"/>
      <x:c r="C92" s="1"/>
      <x:c r="D92" s="6"/>
      <x:c r="E92" s="1"/>
      <x:c r="F92" s="1"/>
      <x:c r="G92" s="1"/>
      <x:c r="H92" s="1"/>
      <x:c r="I92" s="1"/>
      <x:c r="J92" s="1"/>
      <x:c r="K92" s="1"/>
    </x:row>
    <x:row r="93">
      <x:c r="A93" s="1"/>
      <x:c r="B93" s="5"/>
      <x:c r="C93" s="1"/>
      <x:c r="D93" s="6"/>
      <x:c r="E93" s="1"/>
      <x:c r="F93" s="1"/>
      <x:c r="G93" s="1"/>
      <x:c r="H93" s="1"/>
      <x:c r="I93" s="1"/>
      <x:c r="J93" s="1"/>
      <x:c r="K93" s="1"/>
    </x:row>
    <x:row r="94">
      <x:c r="A94" s="1"/>
      <x:c r="B94" s="5"/>
      <x:c r="C94" s="1"/>
      <x:c r="D94" s="6"/>
      <x:c r="E94" s="1"/>
      <x:c r="F94" s="1"/>
      <x:c r="G94" s="1"/>
      <x:c r="H94" s="1"/>
      <x:c r="I94" s="1"/>
      <x:c r="J94" s="1"/>
      <x:c r="K94" s="1"/>
    </x:row>
    <x:row r="95">
      <x:c r="A95" s="1"/>
      <x:c r="B95" s="5"/>
      <x:c r="C95" s="1"/>
      <x:c r="D95" s="6"/>
      <x:c r="E95" s="1"/>
      <x:c r="F95" s="1"/>
      <x:c r="G95" s="1"/>
      <x:c r="H95" s="1"/>
      <x:c r="I95" s="1"/>
      <x:c r="J95" s="1"/>
      <x:c r="K95" s="1"/>
    </x:row>
    <x:row r="96">
      <x:c r="A96" s="1"/>
      <x:c r="B96" s="5"/>
      <x:c r="C96" s="1"/>
      <x:c r="D96" s="6"/>
      <x:c r="E96" s="1"/>
      <x:c r="F96" s="1"/>
      <x:c r="G96" s="1"/>
      <x:c r="H96" s="1"/>
      <x:c r="I96" s="1"/>
      <x:c r="J96" s="1"/>
      <x:c r="K96" s="1"/>
    </x:row>
    <x:row r="97">
      <x:c r="A97" s="1"/>
      <x:c r="B97" s="5"/>
      <x:c r="C97" s="1"/>
      <x:c r="D97" s="6"/>
      <x:c r="E97" s="1"/>
      <x:c r="F97" s="1"/>
      <x:c r="G97" s="1"/>
      <x:c r="H97" s="1"/>
      <x:c r="I97" s="1"/>
      <x:c r="J97" s="1"/>
      <x:c r="K97" s="1"/>
    </x:row>
    <x:row r="98">
      <x:c r="A98" s="1"/>
      <x:c r="B98" s="5"/>
      <x:c r="C98" s="1"/>
      <x:c r="D98" s="6"/>
      <x:c r="E98" s="1"/>
      <x:c r="F98" s="1"/>
      <x:c r="G98" s="1"/>
      <x:c r="H98" s="1"/>
      <x:c r="I98" s="1"/>
      <x:c r="J98" s="1"/>
      <x:c r="K98" s="1"/>
    </x:row>
    <x:row r="99">
      <x:c r="A99" s="1"/>
      <x:c r="B99" s="5"/>
      <x:c r="C99" s="1"/>
      <x:c r="D99" s="6"/>
      <x:c r="E99" s="1"/>
      <x:c r="F99" s="1"/>
      <x:c r="G99" s="1"/>
      <x:c r="H99" s="1"/>
      <x:c r="I99" s="1"/>
      <x:c r="J99" s="1"/>
      <x:c r="K99" s="1"/>
    </x:row>
    <x:row r="100">
      <x:c r="A100" s="1"/>
      <x:c r="B100" s="5"/>
      <x:c r="C100" s="1"/>
      <x:c r="D100" s="6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5"/>
      <x:c r="C101" s="1"/>
      <x:c r="D101" s="6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5"/>
      <x:c r="C102" s="1"/>
      <x:c r="D102" s="6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5"/>
      <x:c r="C103" s="1"/>
      <x:c r="D103" s="6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5"/>
      <x:c r="C104" s="1"/>
      <x:c r="D104" s="6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5"/>
      <x:c r="C105" s="1"/>
      <x:c r="D105" s="6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5"/>
      <x:c r="C106" s="1"/>
      <x:c r="D106" s="6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5"/>
      <x:c r="C107" s="1"/>
      <x:c r="D107" s="6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5"/>
      <x:c r="C108" s="1"/>
      <x:c r="D108" s="6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5"/>
      <x:c r="C109" s="1"/>
      <x:c r="D109" s="6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5"/>
      <x:c r="C110" s="1"/>
      <x:c r="D110" s="6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5"/>
      <x:c r="C111" s="1"/>
      <x:c r="D111" s="6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5"/>
      <x:c r="C112" s="1"/>
      <x:c r="D112" s="6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5"/>
      <x:c r="C113" s="1"/>
      <x:c r="D113" s="6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5"/>
      <x:c r="C114" s="1"/>
      <x:c r="D114" s="6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5"/>
      <x:c r="C115" s="1"/>
      <x:c r="D115" s="6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5"/>
      <x:c r="C116" s="1"/>
      <x:c r="D116" s="6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5"/>
      <x:c r="C117" s="1"/>
      <x:c r="D117" s="6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5"/>
      <x:c r="C118" s="1"/>
      <x:c r="D118" s="6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5"/>
      <x:c r="C119" s="1"/>
      <x:c r="D119" s="6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5"/>
      <x:c r="C120" s="1"/>
      <x:c r="D120" s="6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5"/>
      <x:c r="C121" s="1"/>
      <x:c r="D121" s="6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5"/>
      <x:c r="C122" s="1"/>
      <x:c r="D122" s="6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5"/>
      <x:c r="C123" s="1"/>
      <x:c r="D123" s="6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5"/>
      <x:c r="C124" s="1"/>
      <x:c r="D124" s="6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5"/>
      <x:c r="C125" s="1"/>
      <x:c r="D125" s="6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5"/>
      <x:c r="C126" s="1"/>
      <x:c r="D126" s="6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5"/>
      <x:c r="C127" s="1"/>
      <x:c r="D127" s="6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5"/>
      <x:c r="C128" s="1"/>
      <x:c r="D128" s="6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5"/>
      <x:c r="C129" s="1"/>
      <x:c r="D129" s="6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5"/>
      <x:c r="C130" s="1"/>
      <x:c r="D130" s="6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5"/>
      <x:c r="C131" s="1"/>
      <x:c r="D131" s="6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5"/>
      <x:c r="C132" s="1"/>
      <x:c r="D132" s="6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5"/>
      <x:c r="C133" s="1"/>
      <x:c r="D133" s="6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5"/>
      <x:c r="C134" s="1"/>
      <x:c r="D134" s="6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5"/>
      <x:c r="C135" s="1"/>
      <x:c r="D135" s="6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5"/>
      <x:c r="C136" s="1"/>
      <x:c r="D136" s="6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5"/>
      <x:c r="C137" s="1"/>
      <x:c r="D137" s="6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5"/>
      <x:c r="C138" s="1"/>
      <x:c r="D138" s="6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5"/>
      <x:c r="C139" s="1"/>
      <x:c r="D139" s="6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5"/>
      <x:c r="C140" s="1"/>
      <x:c r="D140" s="6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5"/>
      <x:c r="C141" s="1"/>
      <x:c r="D141" s="6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5"/>
      <x:c r="C142" s="1"/>
      <x:c r="D142" s="6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5"/>
      <x:c r="C143" s="1"/>
      <x:c r="D143" s="6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5"/>
      <x:c r="C144" s="1"/>
      <x:c r="D144" s="6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5"/>
      <x:c r="C145" s="1"/>
      <x:c r="D145" s="6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5"/>
      <x:c r="C146" s="1"/>
      <x:c r="D146" s="6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5"/>
      <x:c r="C147" s="1"/>
      <x:c r="D147" s="6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5"/>
      <x:c r="C148" s="1"/>
      <x:c r="D148" s="6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5"/>
      <x:c r="C149" s="1"/>
      <x:c r="D149" s="6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5"/>
      <x:c r="C150" s="1"/>
      <x:c r="D150" s="6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5"/>
      <x:c r="C151" s="1"/>
      <x:c r="D151" s="6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5"/>
      <x:c r="C152" s="1"/>
      <x:c r="D152" s="6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5"/>
      <x:c r="C153" s="1"/>
      <x:c r="D153" s="6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5"/>
      <x:c r="C154" s="1"/>
      <x:c r="D154" s="6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5"/>
      <x:c r="C155" s="1"/>
      <x:c r="D155" s="6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5"/>
      <x:c r="C156" s="1"/>
      <x:c r="D156" s="6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5"/>
      <x:c r="C157" s="1"/>
      <x:c r="D157" s="6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5"/>
      <x:c r="C158" s="1"/>
      <x:c r="D158" s="6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5"/>
      <x:c r="C159" s="1"/>
      <x:c r="D159" s="6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5"/>
      <x:c r="C160" s="1"/>
      <x:c r="D160" s="6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5"/>
      <x:c r="C161" s="1"/>
      <x:c r="D161" s="6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5"/>
      <x:c r="C162" s="1"/>
      <x:c r="D162" s="6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5"/>
      <x:c r="C163" s="1"/>
      <x:c r="D163" s="6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5"/>
      <x:c r="C164" s="1"/>
      <x:c r="D164" s="6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5"/>
      <x:c r="C165" s="1"/>
      <x:c r="D165" s="6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5"/>
      <x:c r="C166" s="1"/>
      <x:c r="D166" s="6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5"/>
      <x:c r="C167" s="1"/>
      <x:c r="D167" s="6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5"/>
      <x:c r="C168" s="1"/>
      <x:c r="D168" s="6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5"/>
      <x:c r="C169" s="1"/>
      <x:c r="D169" s="6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5"/>
      <x:c r="C170" s="1"/>
      <x:c r="D170" s="6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5"/>
      <x:c r="C171" s="1"/>
      <x:c r="D171" s="6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5"/>
      <x:c r="C172" s="1"/>
      <x:c r="D172" s="6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5"/>
      <x:c r="C173" s="1"/>
      <x:c r="D173" s="6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5"/>
      <x:c r="C174" s="1"/>
      <x:c r="D174" s="6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5"/>
      <x:c r="C175" s="1"/>
      <x:c r="D175" s="6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5"/>
      <x:c r="C176" s="1"/>
      <x:c r="D176" s="6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5"/>
      <x:c r="C177" s="1"/>
      <x:c r="D177" s="6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5"/>
      <x:c r="C178" s="1"/>
      <x:c r="D178" s="6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5"/>
      <x:c r="C179" s="1"/>
      <x:c r="D179" s="6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5"/>
      <x:c r="C180" s="1"/>
      <x:c r="D180" s="6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5"/>
      <x:c r="C181" s="1"/>
      <x:c r="D181" s="6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5"/>
      <x:c r="C182" s="1"/>
      <x:c r="D182" s="6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5"/>
      <x:c r="C183" s="1"/>
      <x:c r="D183" s="6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5"/>
      <x:c r="C184" s="1"/>
      <x:c r="D184" s="6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5"/>
      <x:c r="C185" s="1"/>
      <x:c r="D185" s="6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5"/>
      <x:c r="C186" s="1"/>
      <x:c r="D186" s="6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5"/>
      <x:c r="C187" s="1"/>
      <x:c r="D187" s="6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5"/>
      <x:c r="C188" s="1"/>
      <x:c r="D188" s="6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5"/>
      <x:c r="C189" s="1"/>
      <x:c r="D189" s="6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5"/>
      <x:c r="C190" s="1"/>
      <x:c r="D190" s="6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5"/>
      <x:c r="C191" s="1"/>
      <x:c r="D191" s="6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5"/>
      <x:c r="C192" s="1"/>
      <x:c r="D192" s="6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5"/>
      <x:c r="C193" s="1"/>
      <x:c r="D193" s="6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5"/>
      <x:c r="C194" s="1"/>
      <x:c r="D194" s="6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5"/>
      <x:c r="C195" s="1"/>
      <x:c r="D195" s="6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5"/>
      <x:c r="C196" s="1"/>
      <x:c r="D196" s="6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5"/>
      <x:c r="C197" s="1"/>
      <x:c r="D197" s="6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5"/>
      <x:c r="C198" s="1"/>
      <x:c r="D198" s="6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5"/>
      <x:c r="C199" s="1"/>
      <x:c r="D199" s="6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5"/>
      <x:c r="C200" s="1"/>
      <x:c r="D200" s="6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5"/>
      <x:c r="C201" s="1"/>
      <x:c r="D201" s="6"/>
      <x:c r="E201" s="1"/>
      <x:c r="F201" s="1"/>
      <x:c r="G201" s="1"/>
      <x:c r="H201" s="1"/>
      <x:c r="I201" s="1"/>
      <x:c r="J201" s="1"/>
      <x:c r="K201" s="1"/>
    </x:row>
  </x:sheetData>
  <x:dataValidations count="1">
    <x:dataValidation type="list" sqref="J2:J201">
      <x:formula1>"Pendiente,Confirmado,Excluido"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03630893e64a2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4" customHeight="1">
      <x:c r="A1" s="4" t="str">
        <x:v>ID</x:v>
      </x:c>
      <x:c r="B1" s="4" t="str">
        <x:v>Fecha</x:v>
      </x:c>
      <x:c r="C1" s="4" t="str">
        <x:v>Documento / pregunta</x:v>
      </x:c>
      <x:c r="D1" s="4" t="str">
        <x:v>ID operación</x:v>
      </x:c>
      <x:c r="E1" s="4" t="str">
        <x:v>Acción pendiente</x:v>
      </x:c>
      <x:c r="F1" s="4" t="str">
        <x:v>Estado</x:v>
      </x:c>
      <x:c r="G1" s="4" t="str">
        <x:v>Respuesta del usuario</x:v>
      </x:c>
    </x:row>
    <x:row r="2">
      <x:c r="A2" s="1"/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>
      <x:c r="A8" s="1"/>
      <x:c r="B8" s="1"/>
      <x:c r="C8" s="1"/>
      <x:c r="D8" s="1"/>
      <x:c r="E8" s="1"/>
      <x:c r="F8" s="1"/>
      <x:c r="G8" s="1"/>
    </x:row>
    <x:row r="9">
      <x:c r="A9" s="1"/>
      <x:c r="B9" s="1"/>
      <x:c r="C9" s="1"/>
      <x:c r="D9" s="1"/>
      <x:c r="E9" s="1"/>
      <x:c r="F9" s="1"/>
      <x:c r="G9" s="1"/>
    </x:row>
    <x:row r="10">
      <x:c r="A10" s="1"/>
      <x:c r="B10" s="1"/>
      <x:c r="C10" s="1"/>
      <x:c r="D10" s="1"/>
      <x:c r="E10" s="1"/>
      <x:c r="F10" s="1"/>
      <x:c r="G10" s="1"/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  <x:row r="18">
      <x:c r="A18" s="1"/>
      <x:c r="B18" s="1"/>
      <x:c r="C18" s="1"/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  <x:row r="81">
      <x:c r="A81" s="1"/>
      <x:c r="B81" s="1"/>
      <x:c r="C81" s="1"/>
      <x:c r="D81" s="1"/>
      <x:c r="E81" s="1"/>
      <x:c r="F81" s="1"/>
      <x:c r="G81" s="1"/>
    </x:row>
    <x:row r="82">
      <x:c r="A82" s="1"/>
      <x:c r="B82" s="1"/>
      <x:c r="C82" s="1"/>
      <x:c r="D82" s="1"/>
      <x:c r="E82" s="1"/>
      <x:c r="F82" s="1"/>
      <x:c r="G82" s="1"/>
    </x:row>
    <x:row r="83">
      <x:c r="A83" s="1"/>
      <x:c r="B83" s="1"/>
      <x:c r="C83" s="1"/>
      <x:c r="D83" s="1"/>
      <x:c r="E83" s="1"/>
      <x:c r="F83" s="1"/>
      <x:c r="G83" s="1"/>
    </x:row>
    <x:row r="84">
      <x:c r="A84" s="1"/>
      <x:c r="B84" s="1"/>
      <x:c r="C84" s="1"/>
      <x:c r="D84" s="1"/>
      <x:c r="E84" s="1"/>
      <x:c r="F84" s="1"/>
      <x:c r="G84" s="1"/>
    </x:row>
    <x:row r="85">
      <x:c r="A85" s="1"/>
      <x:c r="B85" s="1"/>
      <x:c r="C85" s="1"/>
      <x:c r="D85" s="1"/>
      <x:c r="E85" s="1"/>
      <x:c r="F85" s="1"/>
      <x:c r="G85" s="1"/>
    </x:row>
    <x:row r="86">
      <x:c r="A86" s="1"/>
      <x:c r="B86" s="1"/>
      <x:c r="C86" s="1"/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>
      <x:c r="A88" s="1"/>
      <x:c r="B88" s="1"/>
      <x:c r="C88" s="1"/>
      <x:c r="D88" s="1"/>
      <x:c r="E88" s="1"/>
      <x:c r="F88" s="1"/>
      <x:c r="G88" s="1"/>
    </x:row>
    <x:row r="89">
      <x:c r="A89" s="1"/>
      <x:c r="B89" s="1"/>
      <x:c r="C89" s="1"/>
      <x:c r="D89" s="1"/>
      <x:c r="E89" s="1"/>
      <x:c r="F89" s="1"/>
      <x:c r="G89" s="1"/>
    </x:row>
    <x:row r="90">
      <x:c r="A90" s="1"/>
      <x:c r="B90" s="1"/>
      <x:c r="C90" s="1"/>
      <x:c r="D90" s="1"/>
      <x:c r="E90" s="1"/>
      <x:c r="F90" s="1"/>
      <x:c r="G90" s="1"/>
    </x:row>
    <x:row r="91">
      <x:c r="A91" s="1"/>
      <x:c r="B91" s="1"/>
      <x:c r="C91" s="1"/>
      <x:c r="D91" s="1"/>
      <x:c r="E91" s="1"/>
      <x:c r="F91" s="1"/>
      <x:c r="G91" s="1"/>
    </x:row>
    <x:row r="92">
      <x:c r="A92" s="1"/>
      <x:c r="B92" s="1"/>
      <x:c r="C92" s="1"/>
      <x:c r="D92" s="1"/>
      <x:c r="E92" s="1"/>
      <x:c r="F92" s="1"/>
      <x:c r="G92" s="1"/>
    </x:row>
    <x:row r="93">
      <x:c r="A93" s="1"/>
      <x:c r="B93" s="1"/>
      <x:c r="C93" s="1"/>
      <x:c r="D93" s="1"/>
      <x:c r="E93" s="1"/>
      <x:c r="F93" s="1"/>
      <x:c r="G93" s="1"/>
    </x:row>
    <x:row r="94">
      <x:c r="A94" s="1"/>
      <x:c r="B94" s="1"/>
      <x:c r="C94" s="1"/>
      <x:c r="D94" s="1"/>
      <x:c r="E94" s="1"/>
      <x:c r="F94" s="1"/>
      <x:c r="G94" s="1"/>
    </x:row>
    <x:row r="95">
      <x:c r="A95" s="1"/>
      <x:c r="B95" s="1"/>
      <x:c r="C95" s="1"/>
      <x:c r="D95" s="1"/>
      <x:c r="E95" s="1"/>
      <x:c r="F95" s="1"/>
      <x:c r="G95" s="1"/>
    </x:row>
    <x:row r="96">
      <x:c r="A96" s="1"/>
      <x:c r="B96" s="1"/>
      <x:c r="C96" s="1"/>
      <x:c r="D96" s="1"/>
      <x:c r="E96" s="1"/>
      <x:c r="F96" s="1"/>
      <x:c r="G96" s="1"/>
    </x:row>
    <x:row r="97">
      <x:c r="A97" s="1"/>
      <x:c r="B97" s="1"/>
      <x:c r="C97" s="1"/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>
      <x:c r="A99" s="1"/>
      <x:c r="B99" s="1"/>
      <x:c r="C99" s="1"/>
      <x:c r="D99" s="1"/>
      <x:c r="E99" s="1"/>
      <x:c r="F99" s="1"/>
      <x:c r="G99" s="1"/>
    </x:row>
    <x:row r="100">
      <x:c r="A100" s="1"/>
      <x:c r="B100" s="1"/>
      <x:c r="C100" s="1"/>
      <x:c r="D100" s="1"/>
      <x:c r="E100" s="1"/>
      <x:c r="F100" s="1"/>
      <x:c r="G100" s="1"/>
    </x:row>
    <x:row r="101">
      <x:c r="A101" s="1"/>
      <x:c r="B101" s="1"/>
      <x:c r="C101" s="1"/>
      <x:c r="D101" s="1"/>
      <x:c r="E101" s="1"/>
      <x:c r="F101" s="1"/>
      <x:c r="G101" s="1"/>
    </x:row>
    <x:row r="102">
      <x:c r="A102" s="1"/>
      <x:c r="B102" s="1"/>
      <x:c r="C102" s="1"/>
      <x:c r="D102" s="1"/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>
      <x:c r="A104" s="1"/>
      <x:c r="B104" s="1"/>
      <x:c r="C104" s="1"/>
      <x:c r="D104" s="1"/>
      <x:c r="E104" s="1"/>
      <x:c r="F104" s="1"/>
      <x:c r="G104" s="1"/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/>
      <x:c r="B106" s="1"/>
      <x:c r="C106" s="1"/>
      <x:c r="D106" s="1"/>
      <x:c r="E106" s="1"/>
      <x:c r="F106" s="1"/>
      <x:c r="G106" s="1"/>
    </x:row>
    <x:row r="107">
      <x:c r="A107" s="1"/>
      <x:c r="B107" s="1"/>
      <x:c r="C107" s="1"/>
      <x:c r="D107" s="1"/>
      <x:c r="E107" s="1"/>
      <x:c r="F107" s="1"/>
      <x:c r="G107" s="1"/>
    </x:row>
    <x:row r="108">
      <x:c r="A108" s="1"/>
      <x:c r="B108" s="1"/>
      <x:c r="C108" s="1"/>
      <x:c r="D108" s="1"/>
      <x:c r="E108" s="1"/>
      <x:c r="F108" s="1"/>
      <x:c r="G108" s="1"/>
    </x:row>
    <x:row r="109">
      <x:c r="A109" s="1"/>
      <x:c r="B109" s="1"/>
      <x:c r="C109" s="1"/>
      <x:c r="D109" s="1"/>
      <x:c r="E109" s="1"/>
      <x:c r="F109" s="1"/>
      <x:c r="G109" s="1"/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/>
      <x:c r="B111" s="1"/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</x:sheetData>
  <x:pageMargins left="0.7" right="0.7" top="0.75" bottom="0.75" header="0.3" footer="0.3"/>
  <x:tableParts count="1">
    <x:tablePart xmlns:r="http://schemas.openxmlformats.org/officeDocument/2006/relationships" r:id="R52f976b01af34fe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44" customHeight="1">
      <x:c r="A1" s="4" t="str">
        <x:v>Ejercicio</x:v>
      </x:c>
      <x:c r="B1" s="4" t="str">
        <x:v>Período</x:v>
      </x:c>
      <x:c r="C1" s="4" t="str">
        <x:v>Modelo</x:v>
      </x:c>
      <x:c r="D1" s="4" t="str">
        <x:v>Estado</x:v>
      </x:c>
      <x:c r="E1" s="4" t="str">
        <x:v>Resultado borrador</x:v>
      </x:c>
      <x:c r="F1" s="4" t="str">
        <x:v>Fecha presentación</x:v>
      </x:c>
      <x:c r="G1" s="4" t="str">
        <x:v>Justificante local</x:v>
      </x:c>
      <x:c r="H1" s="4" t="str">
        <x:v>Fuente oficial</x:v>
      </x:c>
      <x:c r="I1" s="4" t="str">
        <x:v>Fecha comprobación</x:v>
      </x:c>
      <x:c r="J1" s="4" t="str">
        <x:v>Dudas</x:v>
      </x:c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</x:row>
  </x:sheetData>
  <x:pageMargins left="0.7" right="0.7" top="0.75" bottom="0.75" header="0.3" footer="0.3"/>
  <x:tableParts count="1">
    <x:tablePart xmlns:r="http://schemas.openxmlformats.org/officeDocument/2006/relationships" r:id="Rd231175b15384f28"/>
  </x:tableParts>
</x:worksheet>
</file>